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acteristics" sheetId="1" r:id="rId1"/>
    <sheet name="Notes" sheetId="2" r:id="rId2"/>
  </sheets>
  <definedNames>
    <definedName name="_xlnm._FilterDatabase" localSheetId="0" hidden="1">Characteristics!$A$1:$N$1947</definedName>
  </definedNames>
  <calcPr calcId="124519" fullCalcOnLoad="1"/>
</workbook>
</file>

<file path=xl/sharedStrings.xml><?xml version="1.0" encoding="utf-8"?>
<sst xmlns="http://schemas.openxmlformats.org/spreadsheetml/2006/main" count="3903" uniqueCount="1974">
  <si>
    <t>Name</t>
  </si>
  <si>
    <t>Sector</t>
  </si>
  <si>
    <t>Price</t>
  </si>
  <si>
    <t>Dividend Yield</t>
  </si>
  <si>
    <t>5-Year Average Dividend Yield</t>
  </si>
  <si>
    <t>Dividends Per Share (TTM)</t>
  </si>
  <si>
    <t>Market Cap ($M)</t>
  </si>
  <si>
    <t>Trailing P/E Ratio</t>
  </si>
  <si>
    <t>Payout Ratio</t>
  </si>
  <si>
    <t>Beta</t>
  </si>
  <si>
    <t>52-Week High</t>
  </si>
  <si>
    <t>52-Week Low</t>
  </si>
  <si>
    <t>Ticker</t>
  </si>
  <si>
    <t>AAMI</t>
  </si>
  <si>
    <t>AAOI</t>
  </si>
  <si>
    <t>AAT</t>
  </si>
  <si>
    <t>ABCB</t>
  </si>
  <si>
    <t>ABG</t>
  </si>
  <si>
    <t>ABM</t>
  </si>
  <si>
    <t>ABOS</t>
  </si>
  <si>
    <t>ABR</t>
  </si>
  <si>
    <t>ABSI</t>
  </si>
  <si>
    <t>ABUS</t>
  </si>
  <si>
    <t>ACA</t>
  </si>
  <si>
    <t>ACAD</t>
  </si>
  <si>
    <t>ACCD</t>
  </si>
  <si>
    <t>ACCO</t>
  </si>
  <si>
    <t>ACDC</t>
  </si>
  <si>
    <t>ACEL</t>
  </si>
  <si>
    <t>ACHR</t>
  </si>
  <si>
    <t>ACHV</t>
  </si>
  <si>
    <t>ACIC</t>
  </si>
  <si>
    <t>ACIW</t>
  </si>
  <si>
    <t>ACLS</t>
  </si>
  <si>
    <t>ACLX</t>
  </si>
  <si>
    <t>ACMR</t>
  </si>
  <si>
    <t>ACNB</t>
  </si>
  <si>
    <t>ACRE</t>
  </si>
  <si>
    <t>ACRV</t>
  </si>
  <si>
    <t>ACT</t>
  </si>
  <si>
    <t>ACTG</t>
  </si>
  <si>
    <t>ACVA</t>
  </si>
  <si>
    <t>ADCT</t>
  </si>
  <si>
    <t>ADEA</t>
  </si>
  <si>
    <t>ADMA</t>
  </si>
  <si>
    <t>ADNT</t>
  </si>
  <si>
    <t>ADPT</t>
  </si>
  <si>
    <t>ADTN</t>
  </si>
  <si>
    <t>ADUS</t>
  </si>
  <si>
    <t>ADV</t>
  </si>
  <si>
    <t>ADVM</t>
  </si>
  <si>
    <t>AEHR</t>
  </si>
  <si>
    <t>AEIS</t>
  </si>
  <si>
    <t>AEO</t>
  </si>
  <si>
    <t>AESI</t>
  </si>
  <si>
    <t>AEVA</t>
  </si>
  <si>
    <t>AEYE</t>
  </si>
  <si>
    <t>AFCG</t>
  </si>
  <si>
    <t>AFRI</t>
  </si>
  <si>
    <t>AGEN</t>
  </si>
  <si>
    <t>AGIO</t>
  </si>
  <si>
    <t>AGL</t>
  </si>
  <si>
    <t>AGM</t>
  </si>
  <si>
    <t>AGS</t>
  </si>
  <si>
    <t>AGX</t>
  </si>
  <si>
    <t>AGYS</t>
  </si>
  <si>
    <t>AHCO</t>
  </si>
  <si>
    <t>AHH</t>
  </si>
  <si>
    <t>AHR</t>
  </si>
  <si>
    <t>AI</t>
  </si>
  <si>
    <t>AIN</t>
  </si>
  <si>
    <t>AIOT</t>
  </si>
  <si>
    <t>AIP</t>
  </si>
  <si>
    <t>AIR</t>
  </si>
  <si>
    <t>AIRS</t>
  </si>
  <si>
    <t>AISP</t>
  </si>
  <si>
    <t>AIT</t>
  </si>
  <si>
    <t>AIV</t>
  </si>
  <si>
    <t>AKBA</t>
  </si>
  <si>
    <t>AKR</t>
  </si>
  <si>
    <t>AKRO</t>
  </si>
  <si>
    <t>AKYA</t>
  </si>
  <si>
    <t>ALCO</t>
  </si>
  <si>
    <t>ALDX</t>
  </si>
  <si>
    <t>ALE</t>
  </si>
  <si>
    <t>ALEC</t>
  </si>
  <si>
    <t>ALEX</t>
  </si>
  <si>
    <t>ALG</t>
  </si>
  <si>
    <t>ALGT</t>
  </si>
  <si>
    <t>ALHC</t>
  </si>
  <si>
    <t>ALIT</t>
  </si>
  <si>
    <t>ALKS</t>
  </si>
  <si>
    <t>ALKT</t>
  </si>
  <si>
    <t>ALLO</t>
  </si>
  <si>
    <t>ALMS</t>
  </si>
  <si>
    <t>ALNT</t>
  </si>
  <si>
    <t>ALRM</t>
  </si>
  <si>
    <t>ALRS</t>
  </si>
  <si>
    <t>ALT</t>
  </si>
  <si>
    <t>ALTG</t>
  </si>
  <si>
    <t>ALTI</t>
  </si>
  <si>
    <t>ALX</t>
  </si>
  <si>
    <t>ALXO</t>
  </si>
  <si>
    <t>AMAL</t>
  </si>
  <si>
    <t>AMBA</t>
  </si>
  <si>
    <t>AMBC</t>
  </si>
  <si>
    <t>AMBP</t>
  </si>
  <si>
    <t>AMC</t>
  </si>
  <si>
    <t>AMCX</t>
  </si>
  <si>
    <t>AMN</t>
  </si>
  <si>
    <t>AMPH</t>
  </si>
  <si>
    <t>AMPL</t>
  </si>
  <si>
    <t>AMPS</t>
  </si>
  <si>
    <t>AMPX</t>
  </si>
  <si>
    <t>AMPY</t>
  </si>
  <si>
    <t>AMR</t>
  </si>
  <si>
    <t>AMRC</t>
  </si>
  <si>
    <t>AMRK</t>
  </si>
  <si>
    <t>AMRX</t>
  </si>
  <si>
    <t>AMSC</t>
  </si>
  <si>
    <t>AMSF</t>
  </si>
  <si>
    <t>AMTB</t>
  </si>
  <si>
    <t>AMTX</t>
  </si>
  <si>
    <t>AMWD</t>
  </si>
  <si>
    <t>ANAB</t>
  </si>
  <si>
    <t>ANDE</t>
  </si>
  <si>
    <t>ANF</t>
  </si>
  <si>
    <t>ANGO</t>
  </si>
  <si>
    <t>ANIK</t>
  </si>
  <si>
    <t>ANIP</t>
  </si>
  <si>
    <t>ANNX</t>
  </si>
  <si>
    <t>ANRO</t>
  </si>
  <si>
    <t>AOMR</t>
  </si>
  <si>
    <t>AORT</t>
  </si>
  <si>
    <t>AOSL</t>
  </si>
  <si>
    <t>APAM</t>
  </si>
  <si>
    <t>APEI</t>
  </si>
  <si>
    <t>APGE</t>
  </si>
  <si>
    <t>APLD</t>
  </si>
  <si>
    <t>APLE</t>
  </si>
  <si>
    <t>APLT</t>
  </si>
  <si>
    <t>APOG</t>
  </si>
  <si>
    <t>APPN</t>
  </si>
  <si>
    <t>APPS</t>
  </si>
  <si>
    <t>AQST</t>
  </si>
  <si>
    <t>ARAY</t>
  </si>
  <si>
    <t>ARCB</t>
  </si>
  <si>
    <t>ARCT</t>
  </si>
  <si>
    <t>ARDT</t>
  </si>
  <si>
    <t>ARDX</t>
  </si>
  <si>
    <t>ARHS</t>
  </si>
  <si>
    <t>ARI</t>
  </si>
  <si>
    <t>ARIS</t>
  </si>
  <si>
    <t>ARKO</t>
  </si>
  <si>
    <t>ARL</t>
  </si>
  <si>
    <t>ARLO</t>
  </si>
  <si>
    <t>AROC</t>
  </si>
  <si>
    <t>AROW</t>
  </si>
  <si>
    <t>ARQ</t>
  </si>
  <si>
    <t>ARQT</t>
  </si>
  <si>
    <t>ARR</t>
  </si>
  <si>
    <t>ARRY</t>
  </si>
  <si>
    <t>ARTV</t>
  </si>
  <si>
    <t>ARVN</t>
  </si>
  <si>
    <t>ARWR</t>
  </si>
  <si>
    <t>ASAN</t>
  </si>
  <si>
    <t>ASB</t>
  </si>
  <si>
    <t>ASC</t>
  </si>
  <si>
    <t>ASGN</t>
  </si>
  <si>
    <t>ASIX</t>
  </si>
  <si>
    <t>ASLE</t>
  </si>
  <si>
    <t>ASO</t>
  </si>
  <si>
    <t>ASPI</t>
  </si>
  <si>
    <t>ASPN</t>
  </si>
  <si>
    <t>ASTE</t>
  </si>
  <si>
    <t>ASTH</t>
  </si>
  <si>
    <t>ASTS</t>
  </si>
  <si>
    <t>ASUR</t>
  </si>
  <si>
    <t>ATEC</t>
  </si>
  <si>
    <t>ATEN</t>
  </si>
  <si>
    <t>ATEX</t>
  </si>
  <si>
    <t>ATGE</t>
  </si>
  <si>
    <t>ATKR</t>
  </si>
  <si>
    <t>ATLC</t>
  </si>
  <si>
    <t>ATLO</t>
  </si>
  <si>
    <t>ATMU</t>
  </si>
  <si>
    <t>ATNI</t>
  </si>
  <si>
    <t>ATNM</t>
  </si>
  <si>
    <t>ATOS</t>
  </si>
  <si>
    <t>ATRC</t>
  </si>
  <si>
    <t>ATRO</t>
  </si>
  <si>
    <t>ATSG</t>
  </si>
  <si>
    <t>ATXS</t>
  </si>
  <si>
    <t>AUB</t>
  </si>
  <si>
    <t>AUPH</t>
  </si>
  <si>
    <t>AUR</t>
  </si>
  <si>
    <t>AURA</t>
  </si>
  <si>
    <t>AVA</t>
  </si>
  <si>
    <t>AVAH</t>
  </si>
  <si>
    <t>AVAV</t>
  </si>
  <si>
    <t>AVBP</t>
  </si>
  <si>
    <t>AVD</t>
  </si>
  <si>
    <t>AVDL</t>
  </si>
  <si>
    <t>AVDX</t>
  </si>
  <si>
    <t>AVIR</t>
  </si>
  <si>
    <t>AVNS</t>
  </si>
  <si>
    <t>AVNT</t>
  </si>
  <si>
    <t>AVNW</t>
  </si>
  <si>
    <t>AVO</t>
  </si>
  <si>
    <t>AVPT</t>
  </si>
  <si>
    <t>AVTE</t>
  </si>
  <si>
    <t>AVXL</t>
  </si>
  <si>
    <t>AWR</t>
  </si>
  <si>
    <t>AX</t>
  </si>
  <si>
    <t>AXGN</t>
  </si>
  <si>
    <t>AXL</t>
  </si>
  <si>
    <t>AXSM</t>
  </si>
  <si>
    <t>AZZ</t>
  </si>
  <si>
    <t>BANC</t>
  </si>
  <si>
    <t>BAND</t>
  </si>
  <si>
    <t>BANF</t>
  </si>
  <si>
    <t>BANR</t>
  </si>
  <si>
    <t>BARK</t>
  </si>
  <si>
    <t>BASE</t>
  </si>
  <si>
    <t>BATRA</t>
  </si>
  <si>
    <t>BATRK</t>
  </si>
  <si>
    <t>BBAI</t>
  </si>
  <si>
    <t>BBCP</t>
  </si>
  <si>
    <t>BBIO</t>
  </si>
  <si>
    <t>BBNX</t>
  </si>
  <si>
    <t>BBSI</t>
  </si>
  <si>
    <t>BBUC</t>
  </si>
  <si>
    <t>BBW</t>
  </si>
  <si>
    <t>BCAL</t>
  </si>
  <si>
    <t>BCAX</t>
  </si>
  <si>
    <t>BCBP</t>
  </si>
  <si>
    <t>BCC</t>
  </si>
  <si>
    <t>BCML</t>
  </si>
  <si>
    <t>BCO</t>
  </si>
  <si>
    <t>BCPC</t>
  </si>
  <si>
    <t>BCRX</t>
  </si>
  <si>
    <t>BDC</t>
  </si>
  <si>
    <t>BDN</t>
  </si>
  <si>
    <t>BDTX</t>
  </si>
  <si>
    <t>BE</t>
  </si>
  <si>
    <t>BEAM</t>
  </si>
  <si>
    <t>BECN</t>
  </si>
  <si>
    <t>BELFA</t>
  </si>
  <si>
    <t>BELFB</t>
  </si>
  <si>
    <t>BFC</t>
  </si>
  <si>
    <t>BFH</t>
  </si>
  <si>
    <t>BFS</t>
  </si>
  <si>
    <t>BFST</t>
  </si>
  <si>
    <t>BGC</t>
  </si>
  <si>
    <t>BGS</t>
  </si>
  <si>
    <t>BH</t>
  </si>
  <si>
    <t>BHB</t>
  </si>
  <si>
    <t>BHE</t>
  </si>
  <si>
    <t>BHLB</t>
  </si>
  <si>
    <t>BHR</t>
  </si>
  <si>
    <t>BHRB</t>
  </si>
  <si>
    <t>BHVN</t>
  </si>
  <si>
    <t>BIGC</t>
  </si>
  <si>
    <t>BIOA</t>
  </si>
  <si>
    <t>BIPC</t>
  </si>
  <si>
    <t>BJRI</t>
  </si>
  <si>
    <t>BKD</t>
  </si>
  <si>
    <t>BKE</t>
  </si>
  <si>
    <t>BKH</t>
  </si>
  <si>
    <t>BKSY</t>
  </si>
  <si>
    <t>BKU</t>
  </si>
  <si>
    <t>BKV</t>
  </si>
  <si>
    <t>BL</t>
  </si>
  <si>
    <t>BLBD</t>
  </si>
  <si>
    <t>BLDE</t>
  </si>
  <si>
    <t>BLFS</t>
  </si>
  <si>
    <t>BLFY</t>
  </si>
  <si>
    <t>BLKB</t>
  </si>
  <si>
    <t>BLMN</t>
  </si>
  <si>
    <t>BLND</t>
  </si>
  <si>
    <t>BLNK</t>
  </si>
  <si>
    <t>BLUE</t>
  </si>
  <si>
    <t>BLX</t>
  </si>
  <si>
    <t>BLZE</t>
  </si>
  <si>
    <t>BMBL</t>
  </si>
  <si>
    <t>BMEA</t>
  </si>
  <si>
    <t>BMI</t>
  </si>
  <si>
    <t>BMRC</t>
  </si>
  <si>
    <t>BNL</t>
  </si>
  <si>
    <t>BOC</t>
  </si>
  <si>
    <t>BOH</t>
  </si>
  <si>
    <t>BOLD</t>
  </si>
  <si>
    <t>BOOM</t>
  </si>
  <si>
    <t>BOOT</t>
  </si>
  <si>
    <t>BORR</t>
  </si>
  <si>
    <t>BOW</t>
  </si>
  <si>
    <t>BOX</t>
  </si>
  <si>
    <t>BPMC</t>
  </si>
  <si>
    <t>BPRN</t>
  </si>
  <si>
    <t>BRCC</t>
  </si>
  <si>
    <t>BRKL</t>
  </si>
  <si>
    <t>BRSP</t>
  </si>
  <si>
    <t>BRT</t>
  </si>
  <si>
    <t>BRY</t>
  </si>
  <si>
    <t>BRZE</t>
  </si>
  <si>
    <t>BSRR</t>
  </si>
  <si>
    <t>BSVN</t>
  </si>
  <si>
    <t>BTBT</t>
  </si>
  <si>
    <t>BTMD</t>
  </si>
  <si>
    <t>BTSG</t>
  </si>
  <si>
    <t>BTU</t>
  </si>
  <si>
    <t>BUR</t>
  </si>
  <si>
    <t>BUSE</t>
  </si>
  <si>
    <t>BV</t>
  </si>
  <si>
    <t>BVS</t>
  </si>
  <si>
    <t>BWB</t>
  </si>
  <si>
    <t>BWFG</t>
  </si>
  <si>
    <t>BWIN</t>
  </si>
  <si>
    <t>BWMN</t>
  </si>
  <si>
    <t>BXC</t>
  </si>
  <si>
    <t>BXMT</t>
  </si>
  <si>
    <t>BY</t>
  </si>
  <si>
    <t>BYND</t>
  </si>
  <si>
    <t>BYON</t>
  </si>
  <si>
    <t>BYRN</t>
  </si>
  <si>
    <t>BZH</t>
  </si>
  <si>
    <t>CABA</t>
  </si>
  <si>
    <t>CABO</t>
  </si>
  <si>
    <t>CAC</t>
  </si>
  <si>
    <t>CADE</t>
  </si>
  <si>
    <t>CADL</t>
  </si>
  <si>
    <t>CAKE</t>
  </si>
  <si>
    <t>CAL</t>
  </si>
  <si>
    <t>CALM</t>
  </si>
  <si>
    <t>CALX</t>
  </si>
  <si>
    <t>CAMP</t>
  </si>
  <si>
    <t>CAPR</t>
  </si>
  <si>
    <t>CARE</t>
  </si>
  <si>
    <t>CARG</t>
  </si>
  <si>
    <t>CARS</t>
  </si>
  <si>
    <t>CASH</t>
  </si>
  <si>
    <t>CASS</t>
  </si>
  <si>
    <t>CATX</t>
  </si>
  <si>
    <t>CATY</t>
  </si>
  <si>
    <t>CBAN</t>
  </si>
  <si>
    <t>CBL</t>
  </si>
  <si>
    <t>CBLL</t>
  </si>
  <si>
    <t>CBNK</t>
  </si>
  <si>
    <t>CBRL</t>
  </si>
  <si>
    <t>CBT</t>
  </si>
  <si>
    <t>CBU</t>
  </si>
  <si>
    <t>CBUS</t>
  </si>
  <si>
    <t>CBZ</t>
  </si>
  <si>
    <t>CCB</t>
  </si>
  <si>
    <t>CCBG</t>
  </si>
  <si>
    <t>CCCC</t>
  </si>
  <si>
    <t>CCNE</t>
  </si>
  <si>
    <t>CCO</t>
  </si>
  <si>
    <t>CCOI</t>
  </si>
  <si>
    <t>CCRN</t>
  </si>
  <si>
    <t>CCS</t>
  </si>
  <si>
    <t>CCSI</t>
  </si>
  <si>
    <t>CDE</t>
  </si>
  <si>
    <t>CDLX</t>
  </si>
  <si>
    <t>CDNA</t>
  </si>
  <si>
    <t>CDP</t>
  </si>
  <si>
    <t>CDRE</t>
  </si>
  <si>
    <t>CDXS</t>
  </si>
  <si>
    <t>CDZI</t>
  </si>
  <si>
    <t>CECO</t>
  </si>
  <si>
    <t>CELC</t>
  </si>
  <si>
    <t>CENT</t>
  </si>
  <si>
    <t>CENTA</t>
  </si>
  <si>
    <t>CENX</t>
  </si>
  <si>
    <t>CERS</t>
  </si>
  <si>
    <t>CEVA</t>
  </si>
  <si>
    <t>CFFN</t>
  </si>
  <si>
    <t>CGEM</t>
  </si>
  <si>
    <t>CGON</t>
  </si>
  <si>
    <t>CHCO</t>
  </si>
  <si>
    <t>CHCT</t>
  </si>
  <si>
    <t>CHEF</t>
  </si>
  <si>
    <t>CHGG</t>
  </si>
  <si>
    <t>CHMG</t>
  </si>
  <si>
    <t>CHPT</t>
  </si>
  <si>
    <t>CHRS</t>
  </si>
  <si>
    <t>CHX</t>
  </si>
  <si>
    <t>CIFR</t>
  </si>
  <si>
    <t>CIM</t>
  </si>
  <si>
    <t>CIO</t>
  </si>
  <si>
    <t>CIVB</t>
  </si>
  <si>
    <t>CIX</t>
  </si>
  <si>
    <t>CLAR</t>
  </si>
  <si>
    <t>CLB</t>
  </si>
  <si>
    <t>CLBK</t>
  </si>
  <si>
    <t>CLDT</t>
  </si>
  <si>
    <t>CLDX</t>
  </si>
  <si>
    <t>CLFD</t>
  </si>
  <si>
    <t>CLMB</t>
  </si>
  <si>
    <t>CLNE</t>
  </si>
  <si>
    <t>CLPR</t>
  </si>
  <si>
    <t>CLSKW</t>
  </si>
  <si>
    <t>CLW</t>
  </si>
  <si>
    <t>CLYM</t>
  </si>
  <si>
    <t>CMC</t>
  </si>
  <si>
    <t>CMCL</t>
  </si>
  <si>
    <t>CMCO</t>
  </si>
  <si>
    <t>CMP</t>
  </si>
  <si>
    <t>CMPO</t>
  </si>
  <si>
    <t>CMPR</t>
  </si>
  <si>
    <t>CMPX</t>
  </si>
  <si>
    <t>CMRE</t>
  </si>
  <si>
    <t>CMT</t>
  </si>
  <si>
    <t>CMTG</t>
  </si>
  <si>
    <t>CNDT</t>
  </si>
  <si>
    <t>CNK</t>
  </si>
  <si>
    <t>CNMD</t>
  </si>
  <si>
    <t>CNNE</t>
  </si>
  <si>
    <t>CNO</t>
  </si>
  <si>
    <t>CNOB</t>
  </si>
  <si>
    <t>CNR</t>
  </si>
  <si>
    <t>CNS</t>
  </si>
  <si>
    <t>CNX</t>
  </si>
  <si>
    <t>CNXN</t>
  </si>
  <si>
    <t>COCO</t>
  </si>
  <si>
    <t>CODI</t>
  </si>
  <si>
    <t>COFS</t>
  </si>
  <si>
    <t>COGT</t>
  </si>
  <si>
    <t>COHU</t>
  </si>
  <si>
    <t>COLL</t>
  </si>
  <si>
    <t>COMM</t>
  </si>
  <si>
    <t>COMP</t>
  </si>
  <si>
    <t>CON</t>
  </si>
  <si>
    <t>COOK</t>
  </si>
  <si>
    <t>COOP</t>
  </si>
  <si>
    <t>CORT</t>
  </si>
  <si>
    <t>CORZ</t>
  </si>
  <si>
    <t>COUR</t>
  </si>
  <si>
    <t>CPF</t>
  </si>
  <si>
    <t>CPK</t>
  </si>
  <si>
    <t>CPRX</t>
  </si>
  <si>
    <t>CPS</t>
  </si>
  <si>
    <t>CPSS</t>
  </si>
  <si>
    <t>CRAI</t>
  </si>
  <si>
    <t>CRBP</t>
  </si>
  <si>
    <t>CRBU</t>
  </si>
  <si>
    <t>CRC</t>
  </si>
  <si>
    <t>CRCT</t>
  </si>
  <si>
    <t>CRDA</t>
  </si>
  <si>
    <t>CRDF</t>
  </si>
  <si>
    <t>CRDO</t>
  </si>
  <si>
    <t>CRGX</t>
  </si>
  <si>
    <t>CRGY</t>
  </si>
  <si>
    <t>CRK</t>
  </si>
  <si>
    <t>CRMD</t>
  </si>
  <si>
    <t>CRMT</t>
  </si>
  <si>
    <t>CRNC</t>
  </si>
  <si>
    <t>CRNX</t>
  </si>
  <si>
    <t>CRS</t>
  </si>
  <si>
    <t>CRSR</t>
  </si>
  <si>
    <t>CRVL</t>
  </si>
  <si>
    <t>CRVO</t>
  </si>
  <si>
    <t>CSGS</t>
  </si>
  <si>
    <t>CSR</t>
  </si>
  <si>
    <t>CSTE</t>
  </si>
  <si>
    <t>CSTL</t>
  </si>
  <si>
    <t>CSTM</t>
  </si>
  <si>
    <t>CSV</t>
  </si>
  <si>
    <t>CSWI</t>
  </si>
  <si>
    <t>CTBI</t>
  </si>
  <si>
    <t>CTGO</t>
  </si>
  <si>
    <t>CTKB</t>
  </si>
  <si>
    <t>CTLP</t>
  </si>
  <si>
    <t>CTNM</t>
  </si>
  <si>
    <t>CTO</t>
  </si>
  <si>
    <t>CTOS</t>
  </si>
  <si>
    <t>CTRE</t>
  </si>
  <si>
    <t>CTRI</t>
  </si>
  <si>
    <t>CTRN</t>
  </si>
  <si>
    <t>CTS</t>
  </si>
  <si>
    <t>CUBI</t>
  </si>
  <si>
    <t>CURB</t>
  </si>
  <si>
    <t>CURV</t>
  </si>
  <si>
    <t>CVBF</t>
  </si>
  <si>
    <t>CVCO</t>
  </si>
  <si>
    <t>CVGI</t>
  </si>
  <si>
    <t>CVGW</t>
  </si>
  <si>
    <t>CVI</t>
  </si>
  <si>
    <t>CVLG</t>
  </si>
  <si>
    <t>CVLT</t>
  </si>
  <si>
    <t>CVRX</t>
  </si>
  <si>
    <t>CWAN</t>
  </si>
  <si>
    <t>CWBC</t>
  </si>
  <si>
    <t>CWCO</t>
  </si>
  <si>
    <t>CWH</t>
  </si>
  <si>
    <t>CWK</t>
  </si>
  <si>
    <t>CWST</t>
  </si>
  <si>
    <t>CWT</t>
  </si>
  <si>
    <t>CXM</t>
  </si>
  <si>
    <t>CXW</t>
  </si>
  <si>
    <t>CYH</t>
  </si>
  <si>
    <t>CYRX</t>
  </si>
  <si>
    <t>CYTK</t>
  </si>
  <si>
    <t>CZFS</t>
  </si>
  <si>
    <t>CZNC</t>
  </si>
  <si>
    <t>DAKT</t>
  </si>
  <si>
    <t>DAN</t>
  </si>
  <si>
    <t>DAVE</t>
  </si>
  <si>
    <t>DAWN</t>
  </si>
  <si>
    <t>DBD</t>
  </si>
  <si>
    <t>DBI</t>
  </si>
  <si>
    <t>DBRG</t>
  </si>
  <si>
    <t>DC</t>
  </si>
  <si>
    <t>DCGO</t>
  </si>
  <si>
    <t>DCO</t>
  </si>
  <si>
    <t>DCOM</t>
  </si>
  <si>
    <t>DDD</t>
  </si>
  <si>
    <t>DEA</t>
  </si>
  <si>
    <t>DEC</t>
  </si>
  <si>
    <t>DEI</t>
  </si>
  <si>
    <t>DENN</t>
  </si>
  <si>
    <t>DESP</t>
  </si>
  <si>
    <t>DFH</t>
  </si>
  <si>
    <t>DFIN</t>
  </si>
  <si>
    <t>DGICA</t>
  </si>
  <si>
    <t>DGII</t>
  </si>
  <si>
    <t>DH</t>
  </si>
  <si>
    <t>DHC</t>
  </si>
  <si>
    <t>DHIL</t>
  </si>
  <si>
    <t>DHT</t>
  </si>
  <si>
    <t>DIBS</t>
  </si>
  <si>
    <t>DIN</t>
  </si>
  <si>
    <t>DIOD</t>
  </si>
  <si>
    <t>DJCO</t>
  </si>
  <si>
    <t>DK</t>
  </si>
  <si>
    <t>DLHC</t>
  </si>
  <si>
    <t>DLX</t>
  </si>
  <si>
    <t>DMRC</t>
  </si>
  <si>
    <t>DNLI</t>
  </si>
  <si>
    <t>DNOW</t>
  </si>
  <si>
    <t>DNTH</t>
  </si>
  <si>
    <t>DNUT</t>
  </si>
  <si>
    <t>DOCN</t>
  </si>
  <si>
    <t>DOLE</t>
  </si>
  <si>
    <t>DOMO</t>
  </si>
  <si>
    <t>DORM</t>
  </si>
  <si>
    <t>DRH</t>
  </si>
  <si>
    <t>DRS</t>
  </si>
  <si>
    <t>DRVN</t>
  </si>
  <si>
    <t>DSGN</t>
  </si>
  <si>
    <t>DSGR</t>
  </si>
  <si>
    <t>DSP</t>
  </si>
  <si>
    <t>DTC</t>
  </si>
  <si>
    <t>DTI</t>
  </si>
  <si>
    <t>DVAX</t>
  </si>
  <si>
    <t>DX</t>
  </si>
  <si>
    <t>DXLG</t>
  </si>
  <si>
    <t>DXPE</t>
  </si>
  <si>
    <t>DY</t>
  </si>
  <si>
    <t>DYN</t>
  </si>
  <si>
    <t>EAF</t>
  </si>
  <si>
    <t>EAT</t>
  </si>
  <si>
    <t>EB</t>
  </si>
  <si>
    <t>EBC</t>
  </si>
  <si>
    <t>EBF</t>
  </si>
  <si>
    <t>EBTC</t>
  </si>
  <si>
    <t>ECPG</t>
  </si>
  <si>
    <t>ECVT</t>
  </si>
  <si>
    <t>EDIT</t>
  </si>
  <si>
    <t>EE</t>
  </si>
  <si>
    <t>EEX</t>
  </si>
  <si>
    <t>EFC</t>
  </si>
  <si>
    <t>EFSC</t>
  </si>
  <si>
    <t>EGAN</t>
  </si>
  <si>
    <t>EGBN</t>
  </si>
  <si>
    <t>EGHT</t>
  </si>
  <si>
    <t>EGY</t>
  </si>
  <si>
    <t>EHAB</t>
  </si>
  <si>
    <t>EIG</t>
  </si>
  <si>
    <t>ELEV</t>
  </si>
  <si>
    <t>ELME</t>
  </si>
  <si>
    <t>ELVN</t>
  </si>
  <si>
    <t>EMBC</t>
  </si>
  <si>
    <t>EML</t>
  </si>
  <si>
    <t>ENFN</t>
  </si>
  <si>
    <t>ENR</t>
  </si>
  <si>
    <t>ENS</t>
  </si>
  <si>
    <t>ENSG</t>
  </si>
  <si>
    <t>ENTA</t>
  </si>
  <si>
    <t>ENVA</t>
  </si>
  <si>
    <t>ENVX</t>
  </si>
  <si>
    <t>EOLS</t>
  </si>
  <si>
    <t>EP</t>
  </si>
  <si>
    <t>EPAC</t>
  </si>
  <si>
    <t>EPC</t>
  </si>
  <si>
    <t>EPM</t>
  </si>
  <si>
    <t>EPRT</t>
  </si>
  <si>
    <t>EQBK</t>
  </si>
  <si>
    <t>ERAS</t>
  </si>
  <si>
    <t>ERII</t>
  </si>
  <si>
    <t>ESCA</t>
  </si>
  <si>
    <t>ESE</t>
  </si>
  <si>
    <t>ESGR</t>
  </si>
  <si>
    <t>ESNT</t>
  </si>
  <si>
    <t>ESPR</t>
  </si>
  <si>
    <t>ESQ</t>
  </si>
  <si>
    <t>ESRT</t>
  </si>
  <si>
    <t>ESSA</t>
  </si>
  <si>
    <t>ETD</t>
  </si>
  <si>
    <t>ETNB</t>
  </si>
  <si>
    <t>ETWO</t>
  </si>
  <si>
    <t>EU</t>
  </si>
  <si>
    <t>EVC</t>
  </si>
  <si>
    <t>EVCM</t>
  </si>
  <si>
    <t>EVER</t>
  </si>
  <si>
    <t>EVEX</t>
  </si>
  <si>
    <t>EVGO</t>
  </si>
  <si>
    <t>EVH</t>
  </si>
  <si>
    <t>EVI</t>
  </si>
  <si>
    <t>EVLV</t>
  </si>
  <si>
    <t>EVRI</t>
  </si>
  <si>
    <t>EVTC</t>
  </si>
  <si>
    <t>EWCZ</t>
  </si>
  <si>
    <t>EWTX</t>
  </si>
  <si>
    <t>EXLS</t>
  </si>
  <si>
    <t>EXPI</t>
  </si>
  <si>
    <t>EXPO</t>
  </si>
  <si>
    <t>EXTR</t>
  </si>
  <si>
    <t>EYE</t>
  </si>
  <si>
    <t>EYPT</t>
  </si>
  <si>
    <t>FA</t>
  </si>
  <si>
    <t>FARO</t>
  </si>
  <si>
    <t>FATE</t>
  </si>
  <si>
    <t>FBIZ</t>
  </si>
  <si>
    <t>FBK</t>
  </si>
  <si>
    <t>FBLG</t>
  </si>
  <si>
    <t>FBNC</t>
  </si>
  <si>
    <t>FBP</t>
  </si>
  <si>
    <t>FBRT</t>
  </si>
  <si>
    <t>FC</t>
  </si>
  <si>
    <t>FCBC</t>
  </si>
  <si>
    <t>FCEL</t>
  </si>
  <si>
    <t>FCF</t>
  </si>
  <si>
    <t>FCFS</t>
  </si>
  <si>
    <t>FCPT</t>
  </si>
  <si>
    <t>FDBC</t>
  </si>
  <si>
    <t>FDMT</t>
  </si>
  <si>
    <t>FDP</t>
  </si>
  <si>
    <t>FELE</t>
  </si>
  <si>
    <t>FENC</t>
  </si>
  <si>
    <t>FET</t>
  </si>
  <si>
    <t>FF</t>
  </si>
  <si>
    <t>FFBC</t>
  </si>
  <si>
    <t>FFIC</t>
  </si>
  <si>
    <t>FFIN</t>
  </si>
  <si>
    <t>FFNW</t>
  </si>
  <si>
    <t>FFWM</t>
  </si>
  <si>
    <t>FG</t>
  </si>
  <si>
    <t>FHTX</t>
  </si>
  <si>
    <t>FIBK</t>
  </si>
  <si>
    <t>FIGS</t>
  </si>
  <si>
    <t>FIHL</t>
  </si>
  <si>
    <t>FIP</t>
  </si>
  <si>
    <t>FISI</t>
  </si>
  <si>
    <t>FIZZ</t>
  </si>
  <si>
    <t>FL</t>
  </si>
  <si>
    <t>FLG</t>
  </si>
  <si>
    <t>FLGT</t>
  </si>
  <si>
    <t>FLIC</t>
  </si>
  <si>
    <t>FLL</t>
  </si>
  <si>
    <t>FLNC</t>
  </si>
  <si>
    <t>FLNG</t>
  </si>
  <si>
    <t>FLOC</t>
  </si>
  <si>
    <t>FLR</t>
  </si>
  <si>
    <t>FLWS</t>
  </si>
  <si>
    <t>FLXS</t>
  </si>
  <si>
    <t>FLYW</t>
  </si>
  <si>
    <t>FMAO</t>
  </si>
  <si>
    <t>FMBH</t>
  </si>
  <si>
    <t>FMNB</t>
  </si>
  <si>
    <t>FN</t>
  </si>
  <si>
    <t>FNA</t>
  </si>
  <si>
    <t>FNKO</t>
  </si>
  <si>
    <t>FNLC</t>
  </si>
  <si>
    <t>FOLD</t>
  </si>
  <si>
    <t>FOR</t>
  </si>
  <si>
    <t>FORM</t>
  </si>
  <si>
    <t>FORR</t>
  </si>
  <si>
    <t>FOXF</t>
  </si>
  <si>
    <t>FPI</t>
  </si>
  <si>
    <t>FRBA</t>
  </si>
  <si>
    <t>FRGE</t>
  </si>
  <si>
    <t>FRME</t>
  </si>
  <si>
    <t>FRPH</t>
  </si>
  <si>
    <t>FRSH</t>
  </si>
  <si>
    <t>FRST</t>
  </si>
  <si>
    <t>FSBC</t>
  </si>
  <si>
    <t>FSBW</t>
  </si>
  <si>
    <t>FSLY</t>
  </si>
  <si>
    <t>FSP</t>
  </si>
  <si>
    <t>FSS</t>
  </si>
  <si>
    <t>FSTR</t>
  </si>
  <si>
    <t>FTAI</t>
  </si>
  <si>
    <t>FTDR</t>
  </si>
  <si>
    <t>FUBO</t>
  </si>
  <si>
    <t>FUL</t>
  </si>
  <si>
    <t>FULC</t>
  </si>
  <si>
    <t>FULT</t>
  </si>
  <si>
    <t>FUN</t>
  </si>
  <si>
    <t>FVCB</t>
  </si>
  <si>
    <t>FVR</t>
  </si>
  <si>
    <t>FWRD</t>
  </si>
  <si>
    <t>FWRG</t>
  </si>
  <si>
    <t>GABC</t>
  </si>
  <si>
    <t>GALT</t>
  </si>
  <si>
    <t>GAMB</t>
  </si>
  <si>
    <t>GATX</t>
  </si>
  <si>
    <t>GBCI</t>
  </si>
  <si>
    <t>GBIO</t>
  </si>
  <si>
    <t>GBTG</t>
  </si>
  <si>
    <t>GBX</t>
  </si>
  <si>
    <t>GCBC</t>
  </si>
  <si>
    <t>GCI</t>
  </si>
  <si>
    <t>GCMG</t>
  </si>
  <si>
    <t>GCO</t>
  </si>
  <si>
    <t>GCT</t>
  </si>
  <si>
    <t>GCTS</t>
  </si>
  <si>
    <t>GDEN</t>
  </si>
  <si>
    <t>GDOT</t>
  </si>
  <si>
    <t>GDYN</t>
  </si>
  <si>
    <t>GEF</t>
  </si>
  <si>
    <t>GEFB</t>
  </si>
  <si>
    <t>GENC</t>
  </si>
  <si>
    <t>GEO</t>
  </si>
  <si>
    <t>GEOS</t>
  </si>
  <si>
    <t>GERN</t>
  </si>
  <si>
    <t>GETY</t>
  </si>
  <si>
    <t>GFF</t>
  </si>
  <si>
    <t>GH</t>
  </si>
  <si>
    <t>GHC</t>
  </si>
  <si>
    <t>GHM</t>
  </si>
  <si>
    <t>GIC</t>
  </si>
  <si>
    <t>GIII</t>
  </si>
  <si>
    <t>GKOS</t>
  </si>
  <si>
    <t>GLDD</t>
  </si>
  <si>
    <t>GLNG</t>
  </si>
  <si>
    <t>GLRE</t>
  </si>
  <si>
    <t>GLSI</t>
  </si>
  <si>
    <t>GLUE</t>
  </si>
  <si>
    <t>GMGI</t>
  </si>
  <si>
    <t>GMRE</t>
  </si>
  <si>
    <t>GMS</t>
  </si>
  <si>
    <t>GNE</t>
  </si>
  <si>
    <t>GNK</t>
  </si>
  <si>
    <t>GNL</t>
  </si>
  <si>
    <t>GNTY</t>
  </si>
  <si>
    <t>GNW</t>
  </si>
  <si>
    <t>GOCO</t>
  </si>
  <si>
    <t>GOGL</t>
  </si>
  <si>
    <t>GOGO</t>
  </si>
  <si>
    <t>GOLF</t>
  </si>
  <si>
    <t>GOOD</t>
  </si>
  <si>
    <t>GPI</t>
  </si>
  <si>
    <t>GPMT</t>
  </si>
  <si>
    <t>GPOR</t>
  </si>
  <si>
    <t>GPRE</t>
  </si>
  <si>
    <t>GPRO</t>
  </si>
  <si>
    <t>GRBK</t>
  </si>
  <si>
    <t>GRC</t>
  </si>
  <si>
    <t>GRDN</t>
  </si>
  <si>
    <t>GRND</t>
  </si>
  <si>
    <t>GRNT</t>
  </si>
  <si>
    <t>GRPN</t>
  </si>
  <si>
    <t>GRWG</t>
  </si>
  <si>
    <t>GSAT</t>
  </si>
  <si>
    <t>GSBC</t>
  </si>
  <si>
    <t>GSHD</t>
  </si>
  <si>
    <t>GT</t>
  </si>
  <si>
    <t>GTLS</t>
  </si>
  <si>
    <t>GTN</t>
  </si>
  <si>
    <t>GTXI</t>
  </si>
  <si>
    <t>GTY</t>
  </si>
  <si>
    <t>GUTS</t>
  </si>
  <si>
    <t>GVA</t>
  </si>
  <si>
    <t>GWRS</t>
  </si>
  <si>
    <t>GYRE</t>
  </si>
  <si>
    <t>HAE</t>
  </si>
  <si>
    <t>HAFC</t>
  </si>
  <si>
    <t>HAIN</t>
  </si>
  <si>
    <t>HALO</t>
  </si>
  <si>
    <t>HASI</t>
  </si>
  <si>
    <t>HBB</t>
  </si>
  <si>
    <t>HBCP</t>
  </si>
  <si>
    <t>HBI</t>
  </si>
  <si>
    <t>HBIO</t>
  </si>
  <si>
    <t>HBNC</t>
  </si>
  <si>
    <t>HBT</t>
  </si>
  <si>
    <t>HCAT</t>
  </si>
  <si>
    <t>HCC</t>
  </si>
  <si>
    <t>HCI</t>
  </si>
  <si>
    <t>HCKT</t>
  </si>
  <si>
    <t>HCSG</t>
  </si>
  <si>
    <t>HDSN</t>
  </si>
  <si>
    <t>HE</t>
  </si>
  <si>
    <t>HEES</t>
  </si>
  <si>
    <t>HELE</t>
  </si>
  <si>
    <t>HFFG</t>
  </si>
  <si>
    <t>HFWA</t>
  </si>
  <si>
    <t>HG</t>
  </si>
  <si>
    <t>HGV</t>
  </si>
  <si>
    <t>HI</t>
  </si>
  <si>
    <t>HIFS</t>
  </si>
  <si>
    <t>HIMS</t>
  </si>
  <si>
    <t>HIPO</t>
  </si>
  <si>
    <t>HL</t>
  </si>
  <si>
    <t>HLF</t>
  </si>
  <si>
    <t>HLIO</t>
  </si>
  <si>
    <t>HLIT</t>
  </si>
  <si>
    <t>HLLY</t>
  </si>
  <si>
    <t>HLMN</t>
  </si>
  <si>
    <t>HLNE</t>
  </si>
  <si>
    <t>HLVX</t>
  </si>
  <si>
    <t>HLX</t>
  </si>
  <si>
    <t>HMN</t>
  </si>
  <si>
    <t>HMST</t>
  </si>
  <si>
    <t>HNI</t>
  </si>
  <si>
    <t>HNRG</t>
  </si>
  <si>
    <t>HNST</t>
  </si>
  <si>
    <t>HOFT</t>
  </si>
  <si>
    <t>HOMB</t>
  </si>
  <si>
    <t>HONE</t>
  </si>
  <si>
    <t>HOPE</t>
  </si>
  <si>
    <t>HOUS</t>
  </si>
  <si>
    <t>HOV</t>
  </si>
  <si>
    <t>HOWL</t>
  </si>
  <si>
    <t>HP</t>
  </si>
  <si>
    <t>HPK</t>
  </si>
  <si>
    <t>HPP</t>
  </si>
  <si>
    <t>HQI</t>
  </si>
  <si>
    <t>HQY</t>
  </si>
  <si>
    <t>HRI</t>
  </si>
  <si>
    <t>HRMY</t>
  </si>
  <si>
    <t>HROW</t>
  </si>
  <si>
    <t>HRTG</t>
  </si>
  <si>
    <t>HRTX</t>
  </si>
  <si>
    <t>HSHP</t>
  </si>
  <si>
    <t>HSII</t>
  </si>
  <si>
    <t>HSTM</t>
  </si>
  <si>
    <t>HTB</t>
  </si>
  <si>
    <t>HTBK</t>
  </si>
  <si>
    <t>HTH</t>
  </si>
  <si>
    <t>HTLD</t>
  </si>
  <si>
    <t>HTZ</t>
  </si>
  <si>
    <t>HUBG</t>
  </si>
  <si>
    <t>HUMA</t>
  </si>
  <si>
    <t>HURN</t>
  </si>
  <si>
    <t>HUT</t>
  </si>
  <si>
    <t>HVT</t>
  </si>
  <si>
    <t>HWC</t>
  </si>
  <si>
    <t>HWKN</t>
  </si>
  <si>
    <t>HY</t>
  </si>
  <si>
    <t>HYLN</t>
  </si>
  <si>
    <t>HZO</t>
  </si>
  <si>
    <t>IART</t>
  </si>
  <si>
    <t>IAS</t>
  </si>
  <si>
    <t>IAUX</t>
  </si>
  <si>
    <t>IBCP</t>
  </si>
  <si>
    <t>IBEX</t>
  </si>
  <si>
    <t>IBOC</t>
  </si>
  <si>
    <t>IBP</t>
  </si>
  <si>
    <t>IBRX</t>
  </si>
  <si>
    <t>IBTA</t>
  </si>
  <si>
    <t>ICFI</t>
  </si>
  <si>
    <t>ICHR</t>
  </si>
  <si>
    <t>ICUI</t>
  </si>
  <si>
    <t>IDCC</t>
  </si>
  <si>
    <t>IDT</t>
  </si>
  <si>
    <t>IDYA</t>
  </si>
  <si>
    <t>IE</t>
  </si>
  <si>
    <t>IESC</t>
  </si>
  <si>
    <t>IGMS</t>
  </si>
  <si>
    <t>IGT</t>
  </si>
  <si>
    <t>IHRT</t>
  </si>
  <si>
    <t>III</t>
  </si>
  <si>
    <t>IIIN</t>
  </si>
  <si>
    <t>IIIV</t>
  </si>
  <si>
    <t>IIPR</t>
  </si>
  <si>
    <t>ILPT</t>
  </si>
  <si>
    <t>IMAX</t>
  </si>
  <si>
    <t>IMKTA</t>
  </si>
  <si>
    <t>IMMR</t>
  </si>
  <si>
    <t>IMNM</t>
  </si>
  <si>
    <t>IMVT</t>
  </si>
  <si>
    <t>IMXI</t>
  </si>
  <si>
    <t>INBK</t>
  </si>
  <si>
    <t>INBX</t>
  </si>
  <si>
    <t>INDB</t>
  </si>
  <si>
    <t>INDI</t>
  </si>
  <si>
    <t>INFU</t>
  </si>
  <si>
    <t>INGN</t>
  </si>
  <si>
    <t>INH</t>
  </si>
  <si>
    <t>INMB</t>
  </si>
  <si>
    <t>INMD</t>
  </si>
  <si>
    <t>INN</t>
  </si>
  <si>
    <t>INNV</t>
  </si>
  <si>
    <t>INO</t>
  </si>
  <si>
    <t>INOD</t>
  </si>
  <si>
    <t>INR</t>
  </si>
  <si>
    <t>INSE</t>
  </si>
  <si>
    <t>INSM</t>
  </si>
  <si>
    <t>INSW</t>
  </si>
  <si>
    <t>INTA</t>
  </si>
  <si>
    <t>INVA</t>
  </si>
  <si>
    <t>INVX</t>
  </si>
  <si>
    <t>INZY</t>
  </si>
  <si>
    <t>IONQ</t>
  </si>
  <si>
    <t>IOSP</t>
  </si>
  <si>
    <t>IOVA</t>
  </si>
  <si>
    <t>IPAR</t>
  </si>
  <si>
    <t>IPI</t>
  </si>
  <si>
    <t>IPSC</t>
  </si>
  <si>
    <t>IRBT</t>
  </si>
  <si>
    <t>IRMD</t>
  </si>
  <si>
    <t>IRON</t>
  </si>
  <si>
    <t>IRT</t>
  </si>
  <si>
    <t>IRTC</t>
  </si>
  <si>
    <t>IRWD</t>
  </si>
  <si>
    <t>ISPR</t>
  </si>
  <si>
    <t>ISTR</t>
  </si>
  <si>
    <t>ITGR</t>
  </si>
  <si>
    <t>ITIC</t>
  </si>
  <si>
    <t>ITOS</t>
  </si>
  <si>
    <t>ITRI</t>
  </si>
  <si>
    <t>IVR</t>
  </si>
  <si>
    <t>IVT</t>
  </si>
  <si>
    <t>IVVD</t>
  </si>
  <si>
    <t>JACK</t>
  </si>
  <si>
    <t>JAKK</t>
  </si>
  <si>
    <t>JAMF</t>
  </si>
  <si>
    <t>JANX</t>
  </si>
  <si>
    <t>JBGS</t>
  </si>
  <si>
    <t>JBI</t>
  </si>
  <si>
    <t>JBLU</t>
  </si>
  <si>
    <t>JBSS</t>
  </si>
  <si>
    <t>JBTM</t>
  </si>
  <si>
    <t>JELD</t>
  </si>
  <si>
    <t>JILL</t>
  </si>
  <si>
    <t>JJSF</t>
  </si>
  <si>
    <t>JMSB</t>
  </si>
  <si>
    <t>JOBY</t>
  </si>
  <si>
    <t>JOE</t>
  </si>
  <si>
    <t>JOUT</t>
  </si>
  <si>
    <t>JRVR</t>
  </si>
  <si>
    <t>JSPR</t>
  </si>
  <si>
    <t>JXN</t>
  </si>
  <si>
    <t>JYNT</t>
  </si>
  <si>
    <t>KAI</t>
  </si>
  <si>
    <t>KALU</t>
  </si>
  <si>
    <t>KALV</t>
  </si>
  <si>
    <t>KAR</t>
  </si>
  <si>
    <t>KBH</t>
  </si>
  <si>
    <t>KE</t>
  </si>
  <si>
    <t>KELYA</t>
  </si>
  <si>
    <t>KFRC</t>
  </si>
  <si>
    <t>KFS</t>
  </si>
  <si>
    <t>KFY</t>
  </si>
  <si>
    <t>KGS</t>
  </si>
  <si>
    <t>KIDS</t>
  </si>
  <si>
    <t>KIND</t>
  </si>
  <si>
    <t>KLC</t>
  </si>
  <si>
    <t>KLG</t>
  </si>
  <si>
    <t>KLIC</t>
  </si>
  <si>
    <t>KLTR</t>
  </si>
  <si>
    <t>KMT</t>
  </si>
  <si>
    <t>KN</t>
  </si>
  <si>
    <t>KNF</t>
  </si>
  <si>
    <t>KNSA</t>
  </si>
  <si>
    <t>KNTK</t>
  </si>
  <si>
    <t>KOD</t>
  </si>
  <si>
    <t>KODK</t>
  </si>
  <si>
    <t>KOP</t>
  </si>
  <si>
    <t>KOS</t>
  </si>
  <si>
    <t>KREF</t>
  </si>
  <si>
    <t>KRG</t>
  </si>
  <si>
    <t>KRNY</t>
  </si>
  <si>
    <t>KRO</t>
  </si>
  <si>
    <t>KROS</t>
  </si>
  <si>
    <t>KRRO</t>
  </si>
  <si>
    <t>KRT</t>
  </si>
  <si>
    <t>KRUS</t>
  </si>
  <si>
    <t>KRYS</t>
  </si>
  <si>
    <t>KTB</t>
  </si>
  <si>
    <t>KTOS</t>
  </si>
  <si>
    <t>KURA</t>
  </si>
  <si>
    <t>KW</t>
  </si>
  <si>
    <t>KWR</t>
  </si>
  <si>
    <t>KYMR</t>
  </si>
  <si>
    <t>KYTX</t>
  </si>
  <si>
    <t>LAB</t>
  </si>
  <si>
    <t>LADR</t>
  </si>
  <si>
    <t>LANC</t>
  </si>
  <si>
    <t>LAND</t>
  </si>
  <si>
    <t>LASR</t>
  </si>
  <si>
    <t>LAUR</t>
  </si>
  <si>
    <t>LAW</t>
  </si>
  <si>
    <t>LAZR</t>
  </si>
  <si>
    <t>LBRT</t>
  </si>
  <si>
    <t>LC</t>
  </si>
  <si>
    <t>LCII</t>
  </si>
  <si>
    <t>LCNB</t>
  </si>
  <si>
    <t>LCTX</t>
  </si>
  <si>
    <t>LCUT</t>
  </si>
  <si>
    <t>LE</t>
  </si>
  <si>
    <t>LEGH</t>
  </si>
  <si>
    <t>LENZ</t>
  </si>
  <si>
    <t>LESL</t>
  </si>
  <si>
    <t>LEU</t>
  </si>
  <si>
    <t>LFCR</t>
  </si>
  <si>
    <t>LFMD</t>
  </si>
  <si>
    <t>LFST</t>
  </si>
  <si>
    <t>LGFA</t>
  </si>
  <si>
    <t>LGFB</t>
  </si>
  <si>
    <t>LGIH</t>
  </si>
  <si>
    <t>LGND</t>
  </si>
  <si>
    <t>LGTY</t>
  </si>
  <si>
    <t>LIF</t>
  </si>
  <si>
    <t>LILA</t>
  </si>
  <si>
    <t>LILAK</t>
  </si>
  <si>
    <t>LINC</t>
  </si>
  <si>
    <t>LIND</t>
  </si>
  <si>
    <t>LIVN</t>
  </si>
  <si>
    <t>LKFN</t>
  </si>
  <si>
    <t>LMAT</t>
  </si>
  <si>
    <t>LMB</t>
  </si>
  <si>
    <t>LMND</t>
  </si>
  <si>
    <t>LMNR</t>
  </si>
  <si>
    <t>LNKB</t>
  </si>
  <si>
    <t>LNN</t>
  </si>
  <si>
    <t>LNTH</t>
  </si>
  <si>
    <t>LNZA</t>
  </si>
  <si>
    <t>LOB</t>
  </si>
  <si>
    <t>LOCO</t>
  </si>
  <si>
    <t>LOVE</t>
  </si>
  <si>
    <t>LPG</t>
  </si>
  <si>
    <t>LPRO</t>
  </si>
  <si>
    <t>LQDA</t>
  </si>
  <si>
    <t>LQDT</t>
  </si>
  <si>
    <t>LRMR</t>
  </si>
  <si>
    <t>LRN</t>
  </si>
  <si>
    <t>LSEA</t>
  </si>
  <si>
    <t>LTC</t>
  </si>
  <si>
    <t>LTH</t>
  </si>
  <si>
    <t>LUMN</t>
  </si>
  <si>
    <t>LUNG</t>
  </si>
  <si>
    <t>LUNR</t>
  </si>
  <si>
    <t>LVO</t>
  </si>
  <si>
    <t>LVWR</t>
  </si>
  <si>
    <t>LWAY</t>
  </si>
  <si>
    <t>LWLG</t>
  </si>
  <si>
    <t>LXEO</t>
  </si>
  <si>
    <t>LXFR</t>
  </si>
  <si>
    <t>LXP</t>
  </si>
  <si>
    <t>LXRX</t>
  </si>
  <si>
    <t>LXU</t>
  </si>
  <si>
    <t>LYEL</t>
  </si>
  <si>
    <t>LYRA</t>
  </si>
  <si>
    <t>LYTS</t>
  </si>
  <si>
    <t>LZ</t>
  </si>
  <si>
    <t>LZB</t>
  </si>
  <si>
    <t>LZM</t>
  </si>
  <si>
    <t>MAC</t>
  </si>
  <si>
    <t>MAMA</t>
  </si>
  <si>
    <t>MAPS</t>
  </si>
  <si>
    <t>MARA</t>
  </si>
  <si>
    <t>MASS</t>
  </si>
  <si>
    <t>MATV</t>
  </si>
  <si>
    <t>MATW</t>
  </si>
  <si>
    <t>MATX</t>
  </si>
  <si>
    <t>MAX</t>
  </si>
  <si>
    <t>MAZE</t>
  </si>
  <si>
    <t>MBC</t>
  </si>
  <si>
    <t>MBCN</t>
  </si>
  <si>
    <t>MBI</t>
  </si>
  <si>
    <t>MBIN</t>
  </si>
  <si>
    <t>MBUU</t>
  </si>
  <si>
    <t>MBWM</t>
  </si>
  <si>
    <t>MBX</t>
  </si>
  <si>
    <t>MC</t>
  </si>
  <si>
    <t>MCB</t>
  </si>
  <si>
    <t>MCBS</t>
  </si>
  <si>
    <t>MCFT</t>
  </si>
  <si>
    <t>MCRI</t>
  </si>
  <si>
    <t>MCS</t>
  </si>
  <si>
    <t>MCW</t>
  </si>
  <si>
    <t>MCY</t>
  </si>
  <si>
    <t>MD</t>
  </si>
  <si>
    <t>MDGL</t>
  </si>
  <si>
    <t>MDWD</t>
  </si>
  <si>
    <t>MDXG</t>
  </si>
  <si>
    <t>MEC</t>
  </si>
  <si>
    <t>MED</t>
  </si>
  <si>
    <t>MEG</t>
  </si>
  <si>
    <t>MEI</t>
  </si>
  <si>
    <t>METCB</t>
  </si>
  <si>
    <t>METCV</t>
  </si>
  <si>
    <t>MFA</t>
  </si>
  <si>
    <t>MFIN</t>
  </si>
  <si>
    <t>MG</t>
  </si>
  <si>
    <t>MGEE</t>
  </si>
  <si>
    <t>MGNI</t>
  </si>
  <si>
    <t>MGNX</t>
  </si>
  <si>
    <t>MGPI</t>
  </si>
  <si>
    <t>MGRC</t>
  </si>
  <si>
    <t>MGTX</t>
  </si>
  <si>
    <t>MGX</t>
  </si>
  <si>
    <t>MGY</t>
  </si>
  <si>
    <t>MHLD</t>
  </si>
  <si>
    <t>MHO</t>
  </si>
  <si>
    <t>MIR</t>
  </si>
  <si>
    <t>MIRM</t>
  </si>
  <si>
    <t>MITK</t>
  </si>
  <si>
    <t>MITT</t>
  </si>
  <si>
    <t>MKTW</t>
  </si>
  <si>
    <t>ML</t>
  </si>
  <si>
    <t>MLAB</t>
  </si>
  <si>
    <t>MLI</t>
  </si>
  <si>
    <t>MLKN</t>
  </si>
  <si>
    <t>MLNK</t>
  </si>
  <si>
    <t>MLP</t>
  </si>
  <si>
    <t>MLR</t>
  </si>
  <si>
    <t>MLYS</t>
  </si>
  <si>
    <t>MMI</t>
  </si>
  <si>
    <t>MMS</t>
  </si>
  <si>
    <t>MMSI</t>
  </si>
  <si>
    <t>MNKD</t>
  </si>
  <si>
    <t>MNMD</t>
  </si>
  <si>
    <t>MNRO</t>
  </si>
  <si>
    <t>MNTK</t>
  </si>
  <si>
    <t>MOD</t>
  </si>
  <si>
    <t>MODG</t>
  </si>
  <si>
    <t>MODV</t>
  </si>
  <si>
    <t>MOFG</t>
  </si>
  <si>
    <t>MOGA</t>
  </si>
  <si>
    <t>MOV</t>
  </si>
  <si>
    <t>MPB</t>
  </si>
  <si>
    <t>MPX</t>
  </si>
  <si>
    <t>MQ</t>
  </si>
  <si>
    <t>MRAM</t>
  </si>
  <si>
    <t>MRC</t>
  </si>
  <si>
    <t>MRCY</t>
  </si>
  <si>
    <t>MRSN</t>
  </si>
  <si>
    <t>MRTN</t>
  </si>
  <si>
    <t>MRVI</t>
  </si>
  <si>
    <t>MSBI</t>
  </si>
  <si>
    <t>MSEX</t>
  </si>
  <si>
    <t>MSFUT</t>
  </si>
  <si>
    <t>MSGE</t>
  </si>
  <si>
    <t>MTAL</t>
  </si>
  <si>
    <t>MTH</t>
  </si>
  <si>
    <t>MTRN</t>
  </si>
  <si>
    <t>MTRX</t>
  </si>
  <si>
    <t>MTSR</t>
  </si>
  <si>
    <t>MTUS</t>
  </si>
  <si>
    <t>MTW</t>
  </si>
  <si>
    <t>MTX</t>
  </si>
  <si>
    <t>MUR</t>
  </si>
  <si>
    <t>MVBF</t>
  </si>
  <si>
    <t>MVIS</t>
  </si>
  <si>
    <t>MWA</t>
  </si>
  <si>
    <t>MXCT</t>
  </si>
  <si>
    <t>MXL</t>
  </si>
  <si>
    <t>MYE</t>
  </si>
  <si>
    <t>MYFW</t>
  </si>
  <si>
    <t>MYGN</t>
  </si>
  <si>
    <t>MYPS</t>
  </si>
  <si>
    <t>MYRG</t>
  </si>
  <si>
    <t>NABL</t>
  </si>
  <si>
    <t>NAGE</t>
  </si>
  <si>
    <t>NAT</t>
  </si>
  <si>
    <t>NATH</t>
  </si>
  <si>
    <t>NATL</t>
  </si>
  <si>
    <t>NATR</t>
  </si>
  <si>
    <t>NAUT</t>
  </si>
  <si>
    <t>NAVI</t>
  </si>
  <si>
    <t>NBBK</t>
  </si>
  <si>
    <t>NBHC</t>
  </si>
  <si>
    <t>NBN</t>
  </si>
  <si>
    <t>NBR</t>
  </si>
  <si>
    <t>NBTB</t>
  </si>
  <si>
    <t>NC</t>
  </si>
  <si>
    <t>NCMI</t>
  </si>
  <si>
    <t>NE</t>
  </si>
  <si>
    <t>NECB</t>
  </si>
  <si>
    <t>NEO</t>
  </si>
  <si>
    <t>NEOG</t>
  </si>
  <si>
    <t>NEWT</t>
  </si>
  <si>
    <t>NEXT</t>
  </si>
  <si>
    <t>NFBK</t>
  </si>
  <si>
    <t>NG</t>
  </si>
  <si>
    <t>NGNE</t>
  </si>
  <si>
    <t>NGS</t>
  </si>
  <si>
    <t>NGVC</t>
  </si>
  <si>
    <t>NGVT</t>
  </si>
  <si>
    <t>NHC</t>
  </si>
  <si>
    <t>NHI</t>
  </si>
  <si>
    <t>NIC</t>
  </si>
  <si>
    <t>NJR</t>
  </si>
  <si>
    <t>NKSH</t>
  </si>
  <si>
    <t>NKTR</t>
  </si>
  <si>
    <t>NKTX</t>
  </si>
  <si>
    <t>NL</t>
  </si>
  <si>
    <t>NLOP</t>
  </si>
  <si>
    <t>NMIH</t>
  </si>
  <si>
    <t>NMRA</t>
  </si>
  <si>
    <t>NMRK</t>
  </si>
  <si>
    <t>NN</t>
  </si>
  <si>
    <t>NNBR</t>
  </si>
  <si>
    <t>NNE</t>
  </si>
  <si>
    <t>NNI</t>
  </si>
  <si>
    <t>NNOX</t>
  </si>
  <si>
    <t>NODK</t>
  </si>
  <si>
    <t>NOG</t>
  </si>
  <si>
    <t>NOTE</t>
  </si>
  <si>
    <t>NOVA</t>
  </si>
  <si>
    <t>NOVT</t>
  </si>
  <si>
    <t>NPCE</t>
  </si>
  <si>
    <t>NPK</t>
  </si>
  <si>
    <t>NPKI</t>
  </si>
  <si>
    <t>NPO</t>
  </si>
  <si>
    <t>NPWR</t>
  </si>
  <si>
    <t>NRC</t>
  </si>
  <si>
    <t>NRDS</t>
  </si>
  <si>
    <t>NRDY</t>
  </si>
  <si>
    <t>NREF</t>
  </si>
  <si>
    <t>NRGV</t>
  </si>
  <si>
    <t>NRIM</t>
  </si>
  <si>
    <t>NRIX</t>
  </si>
  <si>
    <t>NSIT</t>
  </si>
  <si>
    <t>NSP</t>
  </si>
  <si>
    <t>NSSC</t>
  </si>
  <si>
    <t>NTB</t>
  </si>
  <si>
    <t>NTCT</t>
  </si>
  <si>
    <t>NTGR</t>
  </si>
  <si>
    <t>NTIC</t>
  </si>
  <si>
    <t>NTLA</t>
  </si>
  <si>
    <t>NTST</t>
  </si>
  <si>
    <t>NUS</t>
  </si>
  <si>
    <t>NUVB</t>
  </si>
  <si>
    <t>NUVL</t>
  </si>
  <si>
    <t>NVAX</t>
  </si>
  <si>
    <t>NVCR</t>
  </si>
  <si>
    <t>NVEC</t>
  </si>
  <si>
    <t>NVEE</t>
  </si>
  <si>
    <t>NVRI</t>
  </si>
  <si>
    <t>NVTS</t>
  </si>
  <si>
    <t>NWBI</t>
  </si>
  <si>
    <t>NWE</t>
  </si>
  <si>
    <t>NWFL</t>
  </si>
  <si>
    <t>NWN</t>
  </si>
  <si>
    <t>NWPX</t>
  </si>
  <si>
    <t>NX</t>
  </si>
  <si>
    <t>NXDT</t>
  </si>
  <si>
    <t>NXRT</t>
  </si>
  <si>
    <t>NXT</t>
  </si>
  <si>
    <t>NYMT</t>
  </si>
  <si>
    <t>OABI</t>
  </si>
  <si>
    <t>OB</t>
  </si>
  <si>
    <t>OBIO</t>
  </si>
  <si>
    <t>OBK</t>
  </si>
  <si>
    <t>OBT</t>
  </si>
  <si>
    <t>OCFC</t>
  </si>
  <si>
    <t>OCGN</t>
  </si>
  <si>
    <t>OCUL</t>
  </si>
  <si>
    <t>ODC</t>
  </si>
  <si>
    <t>ODP</t>
  </si>
  <si>
    <t>OEC</t>
  </si>
  <si>
    <t>OFG</t>
  </si>
  <si>
    <t>OFIX</t>
  </si>
  <si>
    <t>OFLX</t>
  </si>
  <si>
    <t>OGS</t>
  </si>
  <si>
    <t>OI</t>
  </si>
  <si>
    <t>OII</t>
  </si>
  <si>
    <t>OIS</t>
  </si>
  <si>
    <t>OLMA</t>
  </si>
  <si>
    <t>OLO</t>
  </si>
  <si>
    <t>OLP</t>
  </si>
  <si>
    <t>OLPX</t>
  </si>
  <si>
    <t>OMCL</t>
  </si>
  <si>
    <t>OMER</t>
  </si>
  <si>
    <t>OMI</t>
  </si>
  <si>
    <t>ONB</t>
  </si>
  <si>
    <t>ONEW</t>
  </si>
  <si>
    <t>ONIT</t>
  </si>
  <si>
    <t>ONL</t>
  </si>
  <si>
    <t>ONTF</t>
  </si>
  <si>
    <t>OOMA</t>
  </si>
  <si>
    <t>OPAD</t>
  </si>
  <si>
    <t>OPCH</t>
  </si>
  <si>
    <t>OPEN</t>
  </si>
  <si>
    <t>OPFI</t>
  </si>
  <si>
    <t>OPK</t>
  </si>
  <si>
    <t>OPRX</t>
  </si>
  <si>
    <t>ORA</t>
  </si>
  <si>
    <t>ORC</t>
  </si>
  <si>
    <t>ORGO</t>
  </si>
  <si>
    <t>ORIC</t>
  </si>
  <si>
    <t>ORN</t>
  </si>
  <si>
    <t>ORRF</t>
  </si>
  <si>
    <t>OSBC</t>
  </si>
  <si>
    <t>OSCR</t>
  </si>
  <si>
    <t>OSIS</t>
  </si>
  <si>
    <t>OSPN</t>
  </si>
  <si>
    <t>OSUR</t>
  </si>
  <si>
    <t>OSW</t>
  </si>
  <si>
    <t>OTLK</t>
  </si>
  <si>
    <t>OTTR</t>
  </si>
  <si>
    <t>OUST</t>
  </si>
  <si>
    <t>OUT</t>
  </si>
  <si>
    <t>OVID</t>
  </si>
  <si>
    <t>OVLY</t>
  </si>
  <si>
    <t>OXM</t>
  </si>
  <si>
    <t>PACB</t>
  </si>
  <si>
    <t>PACK</t>
  </si>
  <si>
    <t>PACS</t>
  </si>
  <si>
    <t>PAGS</t>
  </si>
  <si>
    <t>PAHC</t>
  </si>
  <si>
    <t>PAL</t>
  </si>
  <si>
    <t>PAMT</t>
  </si>
  <si>
    <t>PANL</t>
  </si>
  <si>
    <t>PAR</t>
  </si>
  <si>
    <t>PARR</t>
  </si>
  <si>
    <t>PATK</t>
  </si>
  <si>
    <t>PAX</t>
  </si>
  <si>
    <t>PAYO</t>
  </si>
  <si>
    <t>PAYS</t>
  </si>
  <si>
    <t>PBF</t>
  </si>
  <si>
    <t>PBFS</t>
  </si>
  <si>
    <t>PBH</t>
  </si>
  <si>
    <t>PBI</t>
  </si>
  <si>
    <t>PBPB</t>
  </si>
  <si>
    <t>PBYI</t>
  </si>
  <si>
    <t>PCB</t>
  </si>
  <si>
    <t>PCH</t>
  </si>
  <si>
    <t>PCRX</t>
  </si>
  <si>
    <t>PCT</t>
  </si>
  <si>
    <t>PCVX</t>
  </si>
  <si>
    <t>PCYO</t>
  </si>
  <si>
    <t>PD</t>
  </si>
  <si>
    <t>PDCO</t>
  </si>
  <si>
    <t>PDFS</t>
  </si>
  <si>
    <t>PDLB</t>
  </si>
  <si>
    <t>PDLI</t>
  </si>
  <si>
    <t>PDM</t>
  </si>
  <si>
    <t>PEB</t>
  </si>
  <si>
    <t>PEBK</t>
  </si>
  <si>
    <t>PEBO</t>
  </si>
  <si>
    <t>PECO</t>
  </si>
  <si>
    <t>PENG</t>
  </si>
  <si>
    <t>PEPG</t>
  </si>
  <si>
    <t>PESI</t>
  </si>
  <si>
    <t>PFBC</t>
  </si>
  <si>
    <t>PFIS</t>
  </si>
  <si>
    <t>PFS</t>
  </si>
  <si>
    <t>PFSI</t>
  </si>
  <si>
    <t>PGC</t>
  </si>
  <si>
    <t>PGEN</t>
  </si>
  <si>
    <t>PGNY</t>
  </si>
  <si>
    <t>PGRE</t>
  </si>
  <si>
    <t>PGY</t>
  </si>
  <si>
    <t>PHAT</t>
  </si>
  <si>
    <t>PHIN</t>
  </si>
  <si>
    <t>PHLT</t>
  </si>
  <si>
    <t>PHR</t>
  </si>
  <si>
    <t>PI</t>
  </si>
  <si>
    <t>PINE</t>
  </si>
  <si>
    <t>PIPR</t>
  </si>
  <si>
    <t>PJT</t>
  </si>
  <si>
    <t>PKBK</t>
  </si>
  <si>
    <t>PKE</t>
  </si>
  <si>
    <t>PKOH</t>
  </si>
  <si>
    <t>PKST</t>
  </si>
  <si>
    <t>PL</t>
  </si>
  <si>
    <t>PLAB</t>
  </si>
  <si>
    <t>PLAY</t>
  </si>
  <si>
    <t>PLBC</t>
  </si>
  <si>
    <t>PLL</t>
  </si>
  <si>
    <t>PLMR</t>
  </si>
  <si>
    <t>PLOW</t>
  </si>
  <si>
    <t>PLPC</t>
  </si>
  <si>
    <t>PLRX</t>
  </si>
  <si>
    <t>PLSE</t>
  </si>
  <si>
    <t>PLUG</t>
  </si>
  <si>
    <t>PLUS</t>
  </si>
  <si>
    <t>PLXS</t>
  </si>
  <si>
    <t>PLYM</t>
  </si>
  <si>
    <t>PMT</t>
  </si>
  <si>
    <t>PMTS</t>
  </si>
  <si>
    <t>PNRG</t>
  </si>
  <si>
    <t>PNTG</t>
  </si>
  <si>
    <t>POR</t>
  </si>
  <si>
    <t>POWI</t>
  </si>
  <si>
    <t>POWL</t>
  </si>
  <si>
    <t>POWW</t>
  </si>
  <si>
    <t>PPBI</t>
  </si>
  <si>
    <t>PPTA</t>
  </si>
  <si>
    <t>PRA</t>
  </si>
  <si>
    <t>PRAA</t>
  </si>
  <si>
    <t>PRAX</t>
  </si>
  <si>
    <t>PRCH</t>
  </si>
  <si>
    <t>PRCT</t>
  </si>
  <si>
    <t>PRDO</t>
  </si>
  <si>
    <t>PRG</t>
  </si>
  <si>
    <t>PRGS</t>
  </si>
  <si>
    <t>PRIM</t>
  </si>
  <si>
    <t>PRK</t>
  </si>
  <si>
    <t>PRKS</t>
  </si>
  <si>
    <t>PRLB</t>
  </si>
  <si>
    <t>PRLD</t>
  </si>
  <si>
    <t>PRM</t>
  </si>
  <si>
    <t>PRMB</t>
  </si>
  <si>
    <t>PRME</t>
  </si>
  <si>
    <t>PRO</t>
  </si>
  <si>
    <t>PROK</t>
  </si>
  <si>
    <t>PROP</t>
  </si>
  <si>
    <t>PRPL</t>
  </si>
  <si>
    <t>PRSU</t>
  </si>
  <si>
    <t>PRTA</t>
  </si>
  <si>
    <t>PRTH</t>
  </si>
  <si>
    <t>PRVA</t>
  </si>
  <si>
    <t>PSFE</t>
  </si>
  <si>
    <t>PSMT</t>
  </si>
  <si>
    <t>PSTL</t>
  </si>
  <si>
    <t>PTCT</t>
  </si>
  <si>
    <t>PTEN</t>
  </si>
  <si>
    <t>PTGX</t>
  </si>
  <si>
    <t>PTLO</t>
  </si>
  <si>
    <t>PTON</t>
  </si>
  <si>
    <t>PUBM</t>
  </si>
  <si>
    <t>PUMP</t>
  </si>
  <si>
    <t>PVBC</t>
  </si>
  <si>
    <t>PWP</t>
  </si>
  <si>
    <t>PX</t>
  </si>
  <si>
    <t>PYXS</t>
  </si>
  <si>
    <t>PZZA</t>
  </si>
  <si>
    <t>QBTS</t>
  </si>
  <si>
    <t>QCRH</t>
  </si>
  <si>
    <t>QIPT</t>
  </si>
  <si>
    <t>QLYS</t>
  </si>
  <si>
    <t>QNST</t>
  </si>
  <si>
    <t>QRHC</t>
  </si>
  <si>
    <t>QSI</t>
  </si>
  <si>
    <t>QTRX</t>
  </si>
  <si>
    <t>QTTB</t>
  </si>
  <si>
    <t>QTWO</t>
  </si>
  <si>
    <t>QUAD</t>
  </si>
  <si>
    <t>QUIK</t>
  </si>
  <si>
    <t>RAMP</t>
  </si>
  <si>
    <t>RAPP</t>
  </si>
  <si>
    <t>RAPT</t>
  </si>
  <si>
    <t>RBB</t>
  </si>
  <si>
    <t>RBBN</t>
  </si>
  <si>
    <t>RBCAA</t>
  </si>
  <si>
    <t>RC</t>
  </si>
  <si>
    <t>RCEL</t>
  </si>
  <si>
    <t>RCKT</t>
  </si>
  <si>
    <t>RCKY</t>
  </si>
  <si>
    <t>RCUS</t>
  </si>
  <si>
    <t>RDFN</t>
  </si>
  <si>
    <t>RDN</t>
  </si>
  <si>
    <t>RDNT</t>
  </si>
  <si>
    <t>RDUS</t>
  </si>
  <si>
    <t>RDVT</t>
  </si>
  <si>
    <t>RDW</t>
  </si>
  <si>
    <t>RDZN</t>
  </si>
  <si>
    <t>REAL</t>
  </si>
  <si>
    <t>REAX</t>
  </si>
  <si>
    <t>REFI</t>
  </si>
  <si>
    <t>REI</t>
  </si>
  <si>
    <t>REKR</t>
  </si>
  <si>
    <t>RELL</t>
  </si>
  <si>
    <t>RELY</t>
  </si>
  <si>
    <t>RENB</t>
  </si>
  <si>
    <t>REPL</t>
  </si>
  <si>
    <t>REPX</t>
  </si>
  <si>
    <t>RES</t>
  </si>
  <si>
    <t>REVG</t>
  </si>
  <si>
    <t>REX</t>
  </si>
  <si>
    <t>REZI</t>
  </si>
  <si>
    <t>RGCO</t>
  </si>
  <si>
    <t>RGLS</t>
  </si>
  <si>
    <t>RGNX</t>
  </si>
  <si>
    <t>RGP</t>
  </si>
  <si>
    <t>RGR</t>
  </si>
  <si>
    <t>RGTI</t>
  </si>
  <si>
    <t>RHLD</t>
  </si>
  <si>
    <t>RHP</t>
  </si>
  <si>
    <t>RICK</t>
  </si>
  <si>
    <t>RIG</t>
  </si>
  <si>
    <t>RIGL</t>
  </si>
  <si>
    <t>RILY</t>
  </si>
  <si>
    <t>RIOT</t>
  </si>
  <si>
    <t>RKLB</t>
  </si>
  <si>
    <t>RLAY</t>
  </si>
  <si>
    <t>RLGT</t>
  </si>
  <si>
    <t>RLJ</t>
  </si>
  <si>
    <t>RM</t>
  </si>
  <si>
    <t>RMAX</t>
  </si>
  <si>
    <t>RMBL</t>
  </si>
  <si>
    <t>RMBS</t>
  </si>
  <si>
    <t>RMNI</t>
  </si>
  <si>
    <t>RMR</t>
  </si>
  <si>
    <t>RNA</t>
  </si>
  <si>
    <t>RNAC</t>
  </si>
  <si>
    <t>RNGR</t>
  </si>
  <si>
    <t>RNST</t>
  </si>
  <si>
    <t>ROAD</t>
  </si>
  <si>
    <t>ROCK</t>
  </si>
  <si>
    <t>ROG</t>
  </si>
  <si>
    <t>ROOT</t>
  </si>
  <si>
    <t>RPAY</t>
  </si>
  <si>
    <t>RPD</t>
  </si>
  <si>
    <t>RRBI</t>
  </si>
  <si>
    <t>RRR</t>
  </si>
  <si>
    <t>RSI</t>
  </si>
  <si>
    <t>RSVR</t>
  </si>
  <si>
    <t>RUN</t>
  </si>
  <si>
    <t>RUSHA</t>
  </si>
  <si>
    <t>RUSHB</t>
  </si>
  <si>
    <t>RVLV</t>
  </si>
  <si>
    <t>RVMD</t>
  </si>
  <si>
    <t>RWT</t>
  </si>
  <si>
    <t>RXO</t>
  </si>
  <si>
    <t>RXRX</t>
  </si>
  <si>
    <t>RXST</t>
  </si>
  <si>
    <t>RXT</t>
  </si>
  <si>
    <t>RYAM</t>
  </si>
  <si>
    <t>RYI</t>
  </si>
  <si>
    <t>RYTM</t>
  </si>
  <si>
    <t>SABR</t>
  </si>
  <si>
    <t>SAFE</t>
  </si>
  <si>
    <t>SAFT</t>
  </si>
  <si>
    <t>SAGE</t>
  </si>
  <si>
    <t>SAH</t>
  </si>
  <si>
    <t>SAMG</t>
  </si>
  <si>
    <t>SANA</t>
  </si>
  <si>
    <t>SANM</t>
  </si>
  <si>
    <t>SATS</t>
  </si>
  <si>
    <t>SAVA</t>
  </si>
  <si>
    <t>SB</t>
  </si>
  <si>
    <t>SBCF</t>
  </si>
  <si>
    <t>SBGI</t>
  </si>
  <si>
    <t>SBH</t>
  </si>
  <si>
    <t>SBRA</t>
  </si>
  <si>
    <t>SBSI</t>
  </si>
  <si>
    <t>SBT</t>
  </si>
  <si>
    <t>SCHL</t>
  </si>
  <si>
    <t>SCL</t>
  </si>
  <si>
    <t>SCLX</t>
  </si>
  <si>
    <t>SCPH</t>
  </si>
  <si>
    <t>SCS</t>
  </si>
  <si>
    <t>SCSC</t>
  </si>
  <si>
    <t>SCVL</t>
  </si>
  <si>
    <t>SCWO</t>
  </si>
  <si>
    <t>SD</t>
  </si>
  <si>
    <t>SDGR</t>
  </si>
  <si>
    <t>SDRL</t>
  </si>
  <si>
    <t>SEAT</t>
  </si>
  <si>
    <t>SEI</t>
  </si>
  <si>
    <t>SEM</t>
  </si>
  <si>
    <t>SEMR</t>
  </si>
  <si>
    <t>SENEA</t>
  </si>
  <si>
    <t>SEPN</t>
  </si>
  <si>
    <t>SERA</t>
  </si>
  <si>
    <t>SES</t>
  </si>
  <si>
    <t>SEVN</t>
  </si>
  <si>
    <t>SEZL</t>
  </si>
  <si>
    <t>SFBS</t>
  </si>
  <si>
    <t>SFIX</t>
  </si>
  <si>
    <t>SFL</t>
  </si>
  <si>
    <t>SFM</t>
  </si>
  <si>
    <t>SFNC</t>
  </si>
  <si>
    <t>SFST</t>
  </si>
  <si>
    <t>SG</t>
  </si>
  <si>
    <t>SGC</t>
  </si>
  <si>
    <t>SGHC</t>
  </si>
  <si>
    <t>SGHT</t>
  </si>
  <si>
    <t>SGRY</t>
  </si>
  <si>
    <t>SHAK</t>
  </si>
  <si>
    <t>SHBI</t>
  </si>
  <si>
    <t>SHEN</t>
  </si>
  <si>
    <t>SHLS</t>
  </si>
  <si>
    <t>SHO</t>
  </si>
  <si>
    <t>SHOO</t>
  </si>
  <si>
    <t>SHYF</t>
  </si>
  <si>
    <t>SIBN</t>
  </si>
  <si>
    <t>SIG</t>
  </si>
  <si>
    <t>SIGA</t>
  </si>
  <si>
    <t>SIGI</t>
  </si>
  <si>
    <t>SITC</t>
  </si>
  <si>
    <t>SITM</t>
  </si>
  <si>
    <t>SJW</t>
  </si>
  <si>
    <t>SKIN</t>
  </si>
  <si>
    <t>SKT</t>
  </si>
  <si>
    <t>SKWD</t>
  </si>
  <si>
    <t>SKY</t>
  </si>
  <si>
    <t>SKYE</t>
  </si>
  <si>
    <t>SKYH</t>
  </si>
  <si>
    <t>SKYT</t>
  </si>
  <si>
    <t>SKYW</t>
  </si>
  <si>
    <t>SLAB</t>
  </si>
  <si>
    <t>SLDB</t>
  </si>
  <si>
    <t>SLDP</t>
  </si>
  <si>
    <t>SLG</t>
  </si>
  <si>
    <t>SLND</t>
  </si>
  <si>
    <t>SLNO</t>
  </si>
  <si>
    <t>SLP</t>
  </si>
  <si>
    <t>SLQT</t>
  </si>
  <si>
    <t>SLRN</t>
  </si>
  <si>
    <t>SLVM</t>
  </si>
  <si>
    <t>SM</t>
  </si>
  <si>
    <t>SMBC</t>
  </si>
  <si>
    <t>SMBK</t>
  </si>
  <si>
    <t>SMHI</t>
  </si>
  <si>
    <t>SMID</t>
  </si>
  <si>
    <t>SMLR</t>
  </si>
  <si>
    <t>SMMT</t>
  </si>
  <si>
    <t>SMP</t>
  </si>
  <si>
    <t>SMPL</t>
  </si>
  <si>
    <t>SMR</t>
  </si>
  <si>
    <t>SMRT</t>
  </si>
  <si>
    <t>SMTC</t>
  </si>
  <si>
    <t>SMTI</t>
  </si>
  <si>
    <t>SMXT</t>
  </si>
  <si>
    <t>SNBR</t>
  </si>
  <si>
    <t>SNCY</t>
  </si>
  <si>
    <t>SNDA</t>
  </si>
  <si>
    <t>SNDX</t>
  </si>
  <si>
    <t>SNEX</t>
  </si>
  <si>
    <t>SOC</t>
  </si>
  <si>
    <t>SONO</t>
  </si>
  <si>
    <t>SOUN</t>
  </si>
  <si>
    <t>SPCE</t>
  </si>
  <si>
    <t>SPFI</t>
  </si>
  <si>
    <t>SPHR</t>
  </si>
  <si>
    <t>SPIR</t>
  </si>
  <si>
    <t>SPNS</t>
  </si>
  <si>
    <t>SPNT</t>
  </si>
  <si>
    <t>SPOK</t>
  </si>
  <si>
    <t>SPRY</t>
  </si>
  <si>
    <t>SPSC</t>
  </si>
  <si>
    <t>SPT</t>
  </si>
  <si>
    <t>SPTN</t>
  </si>
  <si>
    <t>SPXC</t>
  </si>
  <si>
    <t>SR</t>
  </si>
  <si>
    <t>SRCE</t>
  </si>
  <si>
    <t>SRDX</t>
  </si>
  <si>
    <t>SRI</t>
  </si>
  <si>
    <t>SRRK</t>
  </si>
  <si>
    <t>SSB</t>
  </si>
  <si>
    <t>SSBK</t>
  </si>
  <si>
    <t>SSP</t>
  </si>
  <si>
    <t>SSRM</t>
  </si>
  <si>
    <t>SST</t>
  </si>
  <si>
    <t>SSTI</t>
  </si>
  <si>
    <t>SSTK</t>
  </si>
  <si>
    <t>STAA</t>
  </si>
  <si>
    <t>STBA</t>
  </si>
  <si>
    <t>STC</t>
  </si>
  <si>
    <t>STEL</t>
  </si>
  <si>
    <t>STEM</t>
  </si>
  <si>
    <t>STEP</t>
  </si>
  <si>
    <t>STGW</t>
  </si>
  <si>
    <t>STHO</t>
  </si>
  <si>
    <t>STKL</t>
  </si>
  <si>
    <t>STKS</t>
  </si>
  <si>
    <t>STNE</t>
  </si>
  <si>
    <t>STNG</t>
  </si>
  <si>
    <t>STOK</t>
  </si>
  <si>
    <t>STR</t>
  </si>
  <si>
    <t>STRA</t>
  </si>
  <si>
    <t>STRL</t>
  </si>
  <si>
    <t>STRO</t>
  </si>
  <si>
    <t>STRS</t>
  </si>
  <si>
    <t>STRW</t>
  </si>
  <si>
    <t>STTK</t>
  </si>
  <si>
    <t>STXS</t>
  </si>
  <si>
    <t>SUNS</t>
  </si>
  <si>
    <t>SUPN</t>
  </si>
  <si>
    <t>SVC</t>
  </si>
  <si>
    <t>SVCO</t>
  </si>
  <si>
    <t>SVRA</t>
  </si>
  <si>
    <t>SVV</t>
  </si>
  <si>
    <t>SWBI</t>
  </si>
  <si>
    <t>SWI</t>
  </si>
  <si>
    <t>SWIM</t>
  </si>
  <si>
    <t>SWKH</t>
  </si>
  <si>
    <t>SWTX</t>
  </si>
  <si>
    <t>SWX</t>
  </si>
  <si>
    <t>SXC</t>
  </si>
  <si>
    <t>SXI</t>
  </si>
  <si>
    <t>SXT</t>
  </si>
  <si>
    <t>SYBT</t>
  </si>
  <si>
    <t>SYNA</t>
  </si>
  <si>
    <t>SYRE</t>
  </si>
  <si>
    <t>TALK</t>
  </si>
  <si>
    <t>TALO</t>
  </si>
  <si>
    <t>TARS</t>
  </si>
  <si>
    <t>TAYD</t>
  </si>
  <si>
    <t>TBBK</t>
  </si>
  <si>
    <t>TBCH</t>
  </si>
  <si>
    <t>TBI</t>
  </si>
  <si>
    <t>TBPH</t>
  </si>
  <si>
    <t>TCBI</t>
  </si>
  <si>
    <t>TCBK</t>
  </si>
  <si>
    <t>TCBX</t>
  </si>
  <si>
    <t>TCI</t>
  </si>
  <si>
    <t>TCMD</t>
  </si>
  <si>
    <t>TCRX</t>
  </si>
  <si>
    <t>TCX</t>
  </si>
  <si>
    <t>TDOC</t>
  </si>
  <si>
    <t>TDS</t>
  </si>
  <si>
    <t>TDUP</t>
  </si>
  <si>
    <t>TDW</t>
  </si>
  <si>
    <t>TE</t>
  </si>
  <si>
    <t>TELO</t>
  </si>
  <si>
    <t>TENB</t>
  </si>
  <si>
    <t>TERN</t>
  </si>
  <si>
    <t>TEX</t>
  </si>
  <si>
    <t>TFIN</t>
  </si>
  <si>
    <t>TG</t>
  </si>
  <si>
    <t>TGI</t>
  </si>
  <si>
    <t>TGLS</t>
  </si>
  <si>
    <t>TGNA</t>
  </si>
  <si>
    <t>TGTX</t>
  </si>
  <si>
    <t>TH</t>
  </si>
  <si>
    <t>THFF</t>
  </si>
  <si>
    <t>THR</t>
  </si>
  <si>
    <t>THRD</t>
  </si>
  <si>
    <t>THRM</t>
  </si>
  <si>
    <t>THRY</t>
  </si>
  <si>
    <t>THS</t>
  </si>
  <si>
    <t>TILE</t>
  </si>
  <si>
    <t>TIPT</t>
  </si>
  <si>
    <t>TITN</t>
  </si>
  <si>
    <t>TK</t>
  </si>
  <si>
    <t>TLS</t>
  </si>
  <si>
    <t>TLYS</t>
  </si>
  <si>
    <t>TMCI</t>
  </si>
  <si>
    <t>TMDX</t>
  </si>
  <si>
    <t>TMHC</t>
  </si>
  <si>
    <t>TMP</t>
  </si>
  <si>
    <t>TNC</t>
  </si>
  <si>
    <t>TNDM</t>
  </si>
  <si>
    <t>TNET</t>
  </si>
  <si>
    <t>TNGX</t>
  </si>
  <si>
    <t>TNK</t>
  </si>
  <si>
    <t>TNYA</t>
  </si>
  <si>
    <t>TOWN</t>
  </si>
  <si>
    <t>TPB</t>
  </si>
  <si>
    <t>TPC</t>
  </si>
  <si>
    <t>TPH</t>
  </si>
  <si>
    <t>TRAK</t>
  </si>
  <si>
    <t>TRC</t>
  </si>
  <si>
    <t>TRDA</t>
  </si>
  <si>
    <t>TREE</t>
  </si>
  <si>
    <t>TRMK</t>
  </si>
  <si>
    <t>TRML</t>
  </si>
  <si>
    <t>TRN</t>
  </si>
  <si>
    <t>TRNO</t>
  </si>
  <si>
    <t>TRNS</t>
  </si>
  <si>
    <t>TROX</t>
  </si>
  <si>
    <t>TRS</t>
  </si>
  <si>
    <t>TRST</t>
  </si>
  <si>
    <t>TRTX</t>
  </si>
  <si>
    <t>TRUE</t>
  </si>
  <si>
    <t>TRUP</t>
  </si>
  <si>
    <t>TRVI</t>
  </si>
  <si>
    <t>TSBK</t>
  </si>
  <si>
    <t>TSHA</t>
  </si>
  <si>
    <t>TSQ</t>
  </si>
  <si>
    <t>TTEC</t>
  </si>
  <si>
    <t>TTGT</t>
  </si>
  <si>
    <t>TTI</t>
  </si>
  <si>
    <t>TTMI</t>
  </si>
  <si>
    <t>TTSH</t>
  </si>
  <si>
    <t>TUSK</t>
  </si>
  <si>
    <t>TVTX</t>
  </si>
  <si>
    <t>TWI</t>
  </si>
  <si>
    <t>TWIN</t>
  </si>
  <si>
    <t>TWO</t>
  </si>
  <si>
    <t>TWST</t>
  </si>
  <si>
    <t>TXNM</t>
  </si>
  <si>
    <t>TYRA</t>
  </si>
  <si>
    <t>UBSI</t>
  </si>
  <si>
    <t>UCB</t>
  </si>
  <si>
    <t>UCTT</t>
  </si>
  <si>
    <t>UDMY</t>
  </si>
  <si>
    <t>UE</t>
  </si>
  <si>
    <t>UEC</t>
  </si>
  <si>
    <t>UFCS</t>
  </si>
  <si>
    <t>UFPI</t>
  </si>
  <si>
    <t>UFPT</t>
  </si>
  <si>
    <t>UHG</t>
  </si>
  <si>
    <t>UHT</t>
  </si>
  <si>
    <t>UIS</t>
  </si>
  <si>
    <t>ULBI</t>
  </si>
  <si>
    <t>ULCC</t>
  </si>
  <si>
    <t>ULH</t>
  </si>
  <si>
    <t>UMBF</t>
  </si>
  <si>
    <t>UMH</t>
  </si>
  <si>
    <t>UNF</t>
  </si>
  <si>
    <t>UNFI</t>
  </si>
  <si>
    <t>UNIT</t>
  </si>
  <si>
    <t>UNTY</t>
  </si>
  <si>
    <t>UP</t>
  </si>
  <si>
    <t>UPB</t>
  </si>
  <si>
    <t>UPBD</t>
  </si>
  <si>
    <t>UPST</t>
  </si>
  <si>
    <t>UPWK</t>
  </si>
  <si>
    <t>URBN</t>
  </si>
  <si>
    <t>URG</t>
  </si>
  <si>
    <t>URGN</t>
  </si>
  <si>
    <t>USCB</t>
  </si>
  <si>
    <t>USD</t>
  </si>
  <si>
    <t>USLM</t>
  </si>
  <si>
    <t>USNA</t>
  </si>
  <si>
    <t>USPH</t>
  </si>
  <si>
    <t>UTI</t>
  </si>
  <si>
    <t>UTL</t>
  </si>
  <si>
    <t>UTMD</t>
  </si>
  <si>
    <t>UTZ</t>
  </si>
  <si>
    <t>UUUU</t>
  </si>
  <si>
    <t>UVE</t>
  </si>
  <si>
    <t>UVSP</t>
  </si>
  <si>
    <t>UVV</t>
  </si>
  <si>
    <t>VABK</t>
  </si>
  <si>
    <t>VAL</t>
  </si>
  <si>
    <t>VALU</t>
  </si>
  <si>
    <t>VBTX</t>
  </si>
  <si>
    <t>VC</t>
  </si>
  <si>
    <t>VCEL</t>
  </si>
  <si>
    <t>VCSA</t>
  </si>
  <si>
    <t>VCTR</t>
  </si>
  <si>
    <t>VCYT</t>
  </si>
  <si>
    <t>VECO</t>
  </si>
  <si>
    <t>VEL</t>
  </si>
  <si>
    <t>VERA</t>
  </si>
  <si>
    <t>VERU</t>
  </si>
  <si>
    <t>VERV</t>
  </si>
  <si>
    <t>VERX</t>
  </si>
  <si>
    <t>VGAS</t>
  </si>
  <si>
    <t>VHI</t>
  </si>
  <si>
    <t>VIAV</t>
  </si>
  <si>
    <t>VICR</t>
  </si>
  <si>
    <t>VIR</t>
  </si>
  <si>
    <t>VIRC</t>
  </si>
  <si>
    <t>VITL</t>
  </si>
  <si>
    <t>VLGEA</t>
  </si>
  <si>
    <t>VLY</t>
  </si>
  <si>
    <t>VMD</t>
  </si>
  <si>
    <t>VMEO</t>
  </si>
  <si>
    <t>VNDA</t>
  </si>
  <si>
    <t>VPG</t>
  </si>
  <si>
    <t>VRA</t>
  </si>
  <si>
    <t>VRCA</t>
  </si>
  <si>
    <t>VRDN</t>
  </si>
  <si>
    <t>VRE</t>
  </si>
  <si>
    <t>VREX</t>
  </si>
  <si>
    <t>VRNS</t>
  </si>
  <si>
    <t>VRNT</t>
  </si>
  <si>
    <t>VRRM</t>
  </si>
  <si>
    <t>VRTS</t>
  </si>
  <si>
    <t>VSAT</t>
  </si>
  <si>
    <t>VSCO</t>
  </si>
  <si>
    <t>VSEC</t>
  </si>
  <si>
    <t>VSH</t>
  </si>
  <si>
    <t>VSTM</t>
  </si>
  <si>
    <t>VTLE</t>
  </si>
  <si>
    <t>VTOL</t>
  </si>
  <si>
    <t>VTS</t>
  </si>
  <si>
    <t>VTSI</t>
  </si>
  <si>
    <t>VTYX</t>
  </si>
  <si>
    <t>VVX</t>
  </si>
  <si>
    <t>VYGR</t>
  </si>
  <si>
    <t>VYX</t>
  </si>
  <si>
    <t>WABC</t>
  </si>
  <si>
    <t>WAFD</t>
  </si>
  <si>
    <t>WALD</t>
  </si>
  <si>
    <t>WASH</t>
  </si>
  <si>
    <t>WAY</t>
  </si>
  <si>
    <t>WBTN</t>
  </si>
  <si>
    <t>WD</t>
  </si>
  <si>
    <t>WDFC</t>
  </si>
  <si>
    <t>WEAV</t>
  </si>
  <si>
    <t>WERN</t>
  </si>
  <si>
    <t>WEST</t>
  </si>
  <si>
    <t>WEYS</t>
  </si>
  <si>
    <t>WGO</t>
  </si>
  <si>
    <t>WGS</t>
  </si>
  <si>
    <t>WHD</t>
  </si>
  <si>
    <t>WINA</t>
  </si>
  <si>
    <t>WK</t>
  </si>
  <si>
    <t>WKC</t>
  </si>
  <si>
    <t>WLDN</t>
  </si>
  <si>
    <t>WLFC</t>
  </si>
  <si>
    <t>WLLBW</t>
  </si>
  <si>
    <t>WLY</t>
  </si>
  <si>
    <t>WMK</t>
  </si>
  <si>
    <t>WNC</t>
  </si>
  <si>
    <t>WNS</t>
  </si>
  <si>
    <t>WOOF</t>
  </si>
  <si>
    <t>WOR</t>
  </si>
  <si>
    <t>WOW</t>
  </si>
  <si>
    <t>WRBY</t>
  </si>
  <si>
    <t>WRLD</t>
  </si>
  <si>
    <t>WS</t>
  </si>
  <si>
    <t>WSBC</t>
  </si>
  <si>
    <t>WSBF</t>
  </si>
  <si>
    <t>WSFS</t>
  </si>
  <si>
    <t>WSR</t>
  </si>
  <si>
    <t>WT</t>
  </si>
  <si>
    <t>WTBA</t>
  </si>
  <si>
    <t>WTI</t>
  </si>
  <si>
    <t>WTS</t>
  </si>
  <si>
    <t>WTTR</t>
  </si>
  <si>
    <t>WULF</t>
  </si>
  <si>
    <t>WVE</t>
  </si>
  <si>
    <t>WWW</t>
  </si>
  <si>
    <t>XBIT</t>
  </si>
  <si>
    <t>XERS</t>
  </si>
  <si>
    <t>XFOR</t>
  </si>
  <si>
    <t>XHR</t>
  </si>
  <si>
    <t>XMTR</t>
  </si>
  <si>
    <t>XNCR</t>
  </si>
  <si>
    <t>XOMA</t>
  </si>
  <si>
    <t>XPEL</t>
  </si>
  <si>
    <t>XPER</t>
  </si>
  <si>
    <t>XPOF</t>
  </si>
  <si>
    <t>XPRO</t>
  </si>
  <si>
    <t>XRX</t>
  </si>
  <si>
    <t>YELP</t>
  </si>
  <si>
    <t>YEXT</t>
  </si>
  <si>
    <t>YMAB</t>
  </si>
  <si>
    <t>YORW</t>
  </si>
  <si>
    <t>YOU</t>
  </si>
  <si>
    <t>ZBIO</t>
  </si>
  <si>
    <t>ZD</t>
  </si>
  <si>
    <t>ZETA</t>
  </si>
  <si>
    <t>ZEUS</t>
  </si>
  <si>
    <t>ZIMV</t>
  </si>
  <si>
    <t>ZIP</t>
  </si>
  <si>
    <t>ZNTL</t>
  </si>
  <si>
    <t>ZSPC</t>
  </si>
  <si>
    <t>ZUMZ</t>
  </si>
  <si>
    <t>ZURA</t>
  </si>
  <si>
    <t>ZVRA</t>
  </si>
  <si>
    <t>ZWS</t>
  </si>
  <si>
    <t>ZYME</t>
  </si>
  <si>
    <t>ZYXI</t>
  </si>
  <si>
    <t>N/A</t>
  </si>
  <si>
    <t>Technology</t>
  </si>
  <si>
    <t>Real Estate</t>
  </si>
  <si>
    <t>Financial Services</t>
  </si>
  <si>
    <t>Consumer Cyclical</t>
  </si>
  <si>
    <t>Industrials</t>
  </si>
  <si>
    <t>Healthcare</t>
  </si>
  <si>
    <t>Consumer Defensive</t>
  </si>
  <si>
    <t>Utilities</t>
  </si>
  <si>
    <t>Communication Services</t>
  </si>
  <si>
    <t>Energy</t>
  </si>
  <si>
    <t>Basic Materials</t>
  </si>
  <si>
    <t>Notes</t>
  </si>
  <si>
    <t>Data Provided by Intrinio</t>
  </si>
  <si>
    <t>Data updated on 2026-01-22</t>
  </si>
</sst>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$#,##0"/>
    <numFmt numFmtId="167" formatCode="0.0"/>
    <numFmt numFmtId="168" formatCode="0.00"/>
  </numFmts>
  <fonts count="3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6" fontId="0" fillId="2" borderId="1" xfId="0" applyNumberFormat="1" applyFill="1" applyBorder="1"/>
    <xf numFmtId="167" fontId="0" fillId="2" borderId="1" xfId="0" applyNumberFormat="1" applyFill="1" applyBorder="1"/>
    <xf numFmtId="168" fontId="0" fillId="2" borderId="1" xfId="0" applyNumberFormat="1" applyFill="1" applyBorder="1"/>
    <xf numFmtId="0" fontId="2" fillId="0" borderId="1" xfId="0" applyFont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8">
    <dxf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u/>
      </font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$#,##0.00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0.0%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6" formatCode="$#,##0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0.0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8" formatCode="0.00"/>
      <fill>
        <patternFill>
          <bgColor rgb="FFDADAD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FFFF"/>
      </font>
      <fill>
        <patternFill>
          <bgColor rgb="FF3F807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4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style="1" customWidth="1"/>
    <col min="2" max="2" width="45.7109375" style="2" customWidth="1"/>
    <col min="3" max="3" width="25.7109375" style="1" customWidth="1"/>
    <col min="4" max="4" width="10.7109375" style="3" customWidth="1"/>
    <col min="5" max="5" width="18.7109375" style="4" customWidth="1"/>
    <col min="6" max="6" width="25.7109375" style="4" customWidth="1"/>
    <col min="7" max="7" width="34.7109375" style="3" customWidth="1"/>
    <col min="8" max="8" width="22.7109375" style="5" customWidth="1"/>
    <col min="9" max="9" width="22.7109375" style="6" customWidth="1"/>
    <col min="10" max="10" width="22.7109375" style="4" customWidth="1"/>
    <col min="11" max="11" width="20.7109375" style="7" customWidth="1"/>
    <col min="12" max="12" width="15.7109375" style="3" customWidth="1"/>
    <col min="13" max="13" width="15.7109375" style="3" customWidth="1"/>
  </cols>
  <sheetData>
    <row r="1" spans="1:13">
      <c r="A1" s="8" t="s">
        <v>12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</row>
    <row r="2" spans="1:13">
      <c r="A2" s="8" t="s">
        <v>13</v>
      </c>
      <c r="B2" s="2">
        <f>HYPERLINK("https://www.suredividend.com/sure-analysis-research-database/","Acadian Asset Management Inc.")</f>
        <v>0</v>
      </c>
      <c r="C2" s="1" t="s">
        <v>1959</v>
      </c>
      <c r="D2" s="3">
        <v>54.96</v>
      </c>
      <c r="F2" s="4">
        <v>0.00079</v>
      </c>
      <c r="G2" s="3">
        <v>0.04</v>
      </c>
      <c r="H2" s="5">
        <v>1961.14487</v>
      </c>
      <c r="I2" s="6">
        <v>22.3365</v>
      </c>
      <c r="J2" s="4">
        <v>0.01267</v>
      </c>
      <c r="K2" s="7">
        <v>1.2967</v>
      </c>
      <c r="L2" s="3">
        <v>55.1</v>
      </c>
      <c r="M2" s="3">
        <v>22.58</v>
      </c>
    </row>
    <row r="3" spans="1:13">
      <c r="A3" s="8" t="s">
        <v>14</v>
      </c>
      <c r="B3" s="2">
        <f>HYPERLINK("https://www.suredividend.com/sure-analysis-research-database/","APPLIED OPTOELECTRONICS, INC.")</f>
        <v>0</v>
      </c>
      <c r="C3" s="1" t="s">
        <v>1960</v>
      </c>
      <c r="D3" s="3">
        <v>39.33</v>
      </c>
      <c r="F3" s="4">
        <v>0</v>
      </c>
      <c r="G3" s="3">
        <v>0</v>
      </c>
      <c r="H3" s="5">
        <v>1111.991262</v>
      </c>
      <c r="J3" s="4">
        <v>0</v>
      </c>
      <c r="K3" s="7">
        <v>3.0814</v>
      </c>
      <c r="L3" s="3">
        <v>41.96</v>
      </c>
      <c r="M3" s="3">
        <v>9.710000000000001</v>
      </c>
    </row>
    <row r="4" spans="1:13">
      <c r="A4" s="8" t="s">
        <v>15</v>
      </c>
      <c r="B4" s="2">
        <f>HYPERLINK("https://www.suredividend.com/sure-analysis-AAT/","American Assets Trust, Inc.")</f>
        <v>0</v>
      </c>
      <c r="C4" s="1" t="s">
        <v>1961</v>
      </c>
      <c r="D4" s="3">
        <v>18.28</v>
      </c>
      <c r="E4" s="4">
        <v>0.07439824945295405</v>
      </c>
      <c r="F4" s="4">
        <v>0.07003</v>
      </c>
      <c r="G4" s="3">
        <v>1.36</v>
      </c>
      <c r="H4" s="5">
        <v>1118.479993</v>
      </c>
      <c r="I4" s="6">
        <v>18.1935</v>
      </c>
      <c r="J4" s="4">
        <v>1.330802</v>
      </c>
      <c r="K4" s="7">
        <v>1.0152</v>
      </c>
      <c r="L4" s="3">
        <v>23.45</v>
      </c>
      <c r="M4" s="3">
        <v>15.86</v>
      </c>
    </row>
    <row r="5" spans="1:13">
      <c r="A5" s="8" t="s">
        <v>16</v>
      </c>
      <c r="B5" s="2">
        <f>HYPERLINK("https://www.suredividend.com/sure-analysis-research-database/","Ameris Bancorp")</f>
        <v>0</v>
      </c>
      <c r="C5" s="1" t="s">
        <v>1962</v>
      </c>
      <c r="D5" s="3">
        <v>82.08</v>
      </c>
      <c r="E5" s="4">
        <v>0.01</v>
      </c>
      <c r="F5" s="4">
        <v>0.008229999999999999</v>
      </c>
      <c r="G5" s="3">
        <v>0.8</v>
      </c>
      <c r="H5" s="5">
        <v>5606.623868</v>
      </c>
      <c r="I5" s="6">
        <v>14.0808</v>
      </c>
      <c r="J5" s="4">
        <v>0.130345</v>
      </c>
      <c r="K5" s="7">
        <v>1.168</v>
      </c>
      <c r="L5" s="3">
        <v>82.33</v>
      </c>
      <c r="M5" s="3">
        <v>47.86</v>
      </c>
    </row>
    <row r="6" spans="1:13">
      <c r="A6" s="8" t="s">
        <v>17</v>
      </c>
      <c r="B6" s="2">
        <f>HYPERLINK("https://www.suredividend.com/sure-analysis-research-database/","ASBURY AUTOMOTIVE GROUP INC")</f>
        <v>0</v>
      </c>
      <c r="C6" s="1" t="s">
        <v>1963</v>
      </c>
      <c r="D6" s="3">
        <v>253.75</v>
      </c>
      <c r="F6" s="4">
        <v>0</v>
      </c>
      <c r="G6" s="3">
        <v>0.9</v>
      </c>
      <c r="H6" s="5">
        <v>4933.041593</v>
      </c>
      <c r="I6" s="6">
        <v>8.7964</v>
      </c>
      <c r="J6" s="4">
        <v>0</v>
      </c>
      <c r="K6" s="7">
        <v>1.205</v>
      </c>
      <c r="L6" s="3">
        <v>312.56</v>
      </c>
      <c r="M6" s="3">
        <v>201.68</v>
      </c>
    </row>
    <row r="7" spans="1:13">
      <c r="A7" s="8" t="s">
        <v>18</v>
      </c>
      <c r="B7" s="2">
        <f>HYPERLINK("https://www.suredividend.com/sure-analysis-ABM/","ABM INDUSTRIES INC /DE/")</f>
        <v>0</v>
      </c>
      <c r="C7" s="1" t="s">
        <v>1964</v>
      </c>
      <c r="D7" s="3">
        <v>46.24</v>
      </c>
      <c r="E7" s="4">
        <v>0.02508650519031141</v>
      </c>
      <c r="F7" s="4">
        <v>0.02034</v>
      </c>
      <c r="G7" s="3">
        <v>1.08</v>
      </c>
      <c r="H7" s="5">
        <v>2757.940554</v>
      </c>
      <c r="I7" s="6">
        <v>16.4261</v>
      </c>
      <c r="J7" s="4">
        <v>0.403941</v>
      </c>
      <c r="K7" s="7">
        <v>0.8734</v>
      </c>
      <c r="L7" s="3">
        <v>53.64</v>
      </c>
      <c r="M7" s="3">
        <v>39.74</v>
      </c>
    </row>
    <row r="8" spans="1:13">
      <c r="A8" s="8" t="s">
        <v>19</v>
      </c>
      <c r="B8" s="2">
        <f>HYPERLINK("https://www.suredividend.com/sure-analysis-research-database/","Acumen Pharmaceuticals, Inc.")</f>
        <v>0</v>
      </c>
      <c r="C8" s="1" t="s">
        <v>1959</v>
      </c>
      <c r="D8" s="3">
        <v>1.82</v>
      </c>
      <c r="G8" s="3">
        <v>0</v>
      </c>
      <c r="H8" s="5">
        <v>109.637899</v>
      </c>
      <c r="J8" s="4">
        <v>0</v>
      </c>
      <c r="L8" s="3">
        <v>2.46</v>
      </c>
      <c r="M8" s="3">
        <v>0.86</v>
      </c>
    </row>
    <row r="9" spans="1:13">
      <c r="A9" s="8" t="s">
        <v>20</v>
      </c>
      <c r="B9" s="2">
        <f>HYPERLINK("https://www.suredividend.com/sure-analysis-research-database/","ARBOR REALTY TRUST INC")</f>
        <v>0</v>
      </c>
      <c r="C9" s="1" t="s">
        <v>1961</v>
      </c>
      <c r="D9" s="3">
        <v>8.06</v>
      </c>
      <c r="E9" s="4">
        <v>0.17</v>
      </c>
      <c r="F9" s="4">
        <v>0.20226</v>
      </c>
      <c r="G9" s="3">
        <v>0</v>
      </c>
      <c r="H9" s="5">
        <v>1577.427718</v>
      </c>
      <c r="I9" s="6">
        <v>10.3316</v>
      </c>
      <c r="J9" s="4">
        <v>1.665449</v>
      </c>
      <c r="L9" s="3">
        <v>12.67</v>
      </c>
      <c r="M9" s="3">
        <v>7.58</v>
      </c>
    </row>
    <row r="10" spans="1:13">
      <c r="A10" s="8" t="s">
        <v>21</v>
      </c>
      <c r="B10" s="2">
        <f>HYPERLINK("https://www.suredividend.com/sure-analysis-research-database/","Absci Corp")</f>
        <v>0</v>
      </c>
      <c r="C10" s="1" t="s">
        <v>1959</v>
      </c>
      <c r="D10" s="3">
        <v>3.03</v>
      </c>
      <c r="G10" s="3">
        <v>0</v>
      </c>
      <c r="H10" s="5">
        <v>454.122024</v>
      </c>
      <c r="J10" s="4">
        <v>0</v>
      </c>
    </row>
    <row r="11" spans="1:13">
      <c r="A11" s="8" t="s">
        <v>22</v>
      </c>
      <c r="B11" s="2">
        <f>HYPERLINK("https://www.suredividend.com/sure-analysis-research-database/","Arbutus Biopharma Corp")</f>
        <v>0</v>
      </c>
      <c r="C11" s="1" t="s">
        <v>1965</v>
      </c>
      <c r="D11" s="3">
        <v>4.18</v>
      </c>
      <c r="G11" s="3">
        <v>0</v>
      </c>
      <c r="H11" s="5">
        <v>796.2214300000001</v>
      </c>
      <c r="J11" s="4">
        <v>0</v>
      </c>
    </row>
    <row r="12" spans="1:13">
      <c r="A12" s="8" t="s">
        <v>23</v>
      </c>
      <c r="B12" s="2">
        <f>HYPERLINK("https://www.suredividend.com/sure-analysis-research-database/","Arcosa, Inc.")</f>
        <v>0</v>
      </c>
      <c r="C12" s="1" t="s">
        <v>1964</v>
      </c>
      <c r="D12" s="3">
        <v>117.37</v>
      </c>
      <c r="G12" s="3">
        <v>0</v>
      </c>
      <c r="H12" s="5">
        <v>5753.471883</v>
      </c>
      <c r="I12" s="6">
        <v>38.7178</v>
      </c>
      <c r="J12" s="4">
        <v>0.066622</v>
      </c>
    </row>
    <row r="13" spans="1:13">
      <c r="A13" s="8" t="s">
        <v>24</v>
      </c>
      <c r="B13" s="2">
        <f>HYPERLINK("https://www.suredividend.com/sure-analysis-research-database/","ACADIA PHARMACEUTICALS INC")</f>
        <v>0</v>
      </c>
      <c r="C13" s="1" t="s">
        <v>1965</v>
      </c>
      <c r="D13" s="3">
        <v>26.99</v>
      </c>
      <c r="G13" s="3">
        <v>0</v>
      </c>
      <c r="H13" s="5">
        <v>4527.305423</v>
      </c>
      <c r="I13" s="6">
        <v>17.3344</v>
      </c>
      <c r="J13" s="4">
        <v>0</v>
      </c>
    </row>
    <row r="14" spans="1:13">
      <c r="A14" s="8" t="s">
        <v>25</v>
      </c>
      <c r="B14" s="2">
        <f>HYPERLINK("https://www.suredividend.com/sure-analysis-research-database/","Accolade, Inc.")</f>
        <v>0</v>
      </c>
      <c r="C14" s="1" t="s">
        <v>1959</v>
      </c>
      <c r="D14" s="3">
        <v>0</v>
      </c>
      <c r="G14" s="3">
        <v>0</v>
      </c>
      <c r="H14" s="5">
        <v>572.730266</v>
      </c>
      <c r="J14" s="4">
        <v>0</v>
      </c>
    </row>
    <row r="15" spans="1:13">
      <c r="A15" s="8" t="s">
        <v>26</v>
      </c>
      <c r="B15" s="2">
        <f>HYPERLINK("https://www.suredividend.com/sure-analysis-research-database/","ACCO BRANDS Corp")</f>
        <v>0</v>
      </c>
      <c r="C15" s="1" t="s">
        <v>1964</v>
      </c>
      <c r="D15" s="3">
        <v>4.07</v>
      </c>
      <c r="E15" s="4">
        <v>0.07000000000000001</v>
      </c>
      <c r="F15" s="4">
        <v>0.07757</v>
      </c>
      <c r="G15" s="3">
        <v>0</v>
      </c>
      <c r="H15" s="5">
        <v>363.248616</v>
      </c>
      <c r="I15" s="6">
        <v>8.946999999999999</v>
      </c>
      <c r="J15" s="4">
        <v>0.669951</v>
      </c>
      <c r="L15" s="3">
        <v>5.25</v>
      </c>
      <c r="M15" s="3">
        <v>3.18</v>
      </c>
    </row>
    <row r="16" spans="1:13">
      <c r="A16" s="8" t="s">
        <v>27</v>
      </c>
      <c r="B16" s="2">
        <f>HYPERLINK("https://www.suredividend.com/sure-analysis-research-database/","ProFrac Holding Corp.")</f>
        <v>0</v>
      </c>
      <c r="C16" s="1" t="s">
        <v>1959</v>
      </c>
      <c r="D16" s="3">
        <v>5.125</v>
      </c>
      <c r="G16" s="3">
        <v>0</v>
      </c>
      <c r="H16" s="5">
        <v>927.8691690000001</v>
      </c>
      <c r="J16" s="4">
        <v>0</v>
      </c>
    </row>
    <row r="17" spans="1:13">
      <c r="A17" s="8" t="s">
        <v>28</v>
      </c>
      <c r="B17" s="2">
        <f>HYPERLINK("https://www.suredividend.com/sure-analysis-research-database/","Accel Entertainment, Inc.")</f>
        <v>0</v>
      </c>
      <c r="C17" s="1" t="s">
        <v>1963</v>
      </c>
      <c r="D17" s="3">
        <v>11.39</v>
      </c>
      <c r="G17" s="3">
        <v>0</v>
      </c>
      <c r="H17" s="5">
        <v>951.898902</v>
      </c>
      <c r="I17" s="6">
        <v>21.7961</v>
      </c>
      <c r="J17" s="4">
        <v>0</v>
      </c>
      <c r="L17" s="3">
        <v>13.27</v>
      </c>
      <c r="M17" s="3">
        <v>9.02</v>
      </c>
    </row>
    <row r="18" spans="1:13">
      <c r="A18" s="8" t="s">
        <v>29</v>
      </c>
      <c r="B18" s="2">
        <f>HYPERLINK("https://www.suredividend.com/sure-analysis-research-database/","Archer Aviation Inc.")</f>
        <v>0</v>
      </c>
      <c r="C18" s="1" t="s">
        <v>1959</v>
      </c>
      <c r="D18" s="3">
        <v>8.59</v>
      </c>
      <c r="F18" s="4">
        <v>0</v>
      </c>
      <c r="G18" s="3">
        <v>0</v>
      </c>
      <c r="H18" s="5">
        <v>5516.862869</v>
      </c>
      <c r="J18" s="4">
        <v>0</v>
      </c>
      <c r="K18" s="7">
        <v>2.9574</v>
      </c>
      <c r="L18" s="3">
        <v>14.62</v>
      </c>
      <c r="M18" s="3">
        <v>5.48</v>
      </c>
    </row>
    <row r="19" spans="1:13">
      <c r="A19" s="8" t="s">
        <v>30</v>
      </c>
      <c r="B19" s="2">
        <f>HYPERLINK("https://www.suredividend.com/sure-analysis-research-database/","ACHIEVE LIFE SCIENCES, INC.")</f>
        <v>0</v>
      </c>
      <c r="C19" s="1" t="s">
        <v>1965</v>
      </c>
      <c r="D19" s="3">
        <v>5.42</v>
      </c>
      <c r="F19" s="4">
        <v>0</v>
      </c>
      <c r="G19" s="3">
        <v>0</v>
      </c>
      <c r="H19" s="5">
        <v>288.528215</v>
      </c>
      <c r="J19" s="4">
        <v>0</v>
      </c>
      <c r="K19" s="7">
        <v>1.9258</v>
      </c>
      <c r="L19" s="3">
        <v>6.03</v>
      </c>
      <c r="M19" s="3">
        <v>1.84</v>
      </c>
    </row>
    <row r="20" spans="1:13">
      <c r="A20" s="8" t="s">
        <v>31</v>
      </c>
      <c r="B20" s="2">
        <f>HYPERLINK("https://www.suredividend.com/sure-analysis-research-database/","AMERICAN COASTAL INSURANCE Corp")</f>
        <v>0</v>
      </c>
      <c r="C20" s="1" t="s">
        <v>1959</v>
      </c>
      <c r="D20" s="3">
        <v>11.3</v>
      </c>
      <c r="E20" s="4">
        <v>0.07000000000000001</v>
      </c>
      <c r="F20" s="4">
        <v>0.0265</v>
      </c>
      <c r="G20" s="3">
        <v>0.75</v>
      </c>
      <c r="H20" s="5">
        <v>548.121994</v>
      </c>
      <c r="I20" s="6">
        <v>6.4319</v>
      </c>
      <c r="J20" s="4">
        <v>0</v>
      </c>
      <c r="K20" s="7">
        <v>0.7411</v>
      </c>
      <c r="L20" s="3">
        <v>12.7</v>
      </c>
      <c r="M20" s="3">
        <v>9.380000000000001</v>
      </c>
    </row>
    <row r="21" spans="1:13">
      <c r="A21" s="8" t="s">
        <v>32</v>
      </c>
      <c r="B21" s="2">
        <f>HYPERLINK("https://www.suredividend.com/sure-analysis-research-database/","ACI WORLDWIDE, INC.")</f>
        <v>0</v>
      </c>
      <c r="C21" s="1" t="s">
        <v>1960</v>
      </c>
      <c r="D21" s="3">
        <v>42.9</v>
      </c>
      <c r="F21" s="4">
        <v>0</v>
      </c>
      <c r="G21" s="3">
        <v>0</v>
      </c>
      <c r="H21" s="5">
        <v>4422.475457</v>
      </c>
      <c r="I21" s="6">
        <v>16.9523</v>
      </c>
      <c r="J21" s="4">
        <v>0</v>
      </c>
      <c r="K21" s="7">
        <v>1.1581</v>
      </c>
      <c r="L21" s="3">
        <v>58.14</v>
      </c>
      <c r="M21" s="3">
        <v>40.45</v>
      </c>
    </row>
    <row r="22" spans="1:13">
      <c r="A22" s="8" t="s">
        <v>33</v>
      </c>
      <c r="B22" s="2">
        <f>HYPERLINK("https://www.suredividend.com/sure-analysis-research-database/","AXCELIS TECHNOLOGIES INC")</f>
        <v>0</v>
      </c>
      <c r="C22" s="1" t="s">
        <v>1960</v>
      </c>
      <c r="D22" s="3">
        <v>94.59</v>
      </c>
      <c r="F22" s="4">
        <v>0</v>
      </c>
      <c r="G22" s="3">
        <v>0</v>
      </c>
      <c r="H22" s="5">
        <v>2895.939005</v>
      </c>
      <c r="I22" s="6">
        <v>21.31</v>
      </c>
      <c r="J22" s="4">
        <v>0</v>
      </c>
      <c r="K22" s="7">
        <v>1.664</v>
      </c>
      <c r="L22" s="3">
        <v>102.93</v>
      </c>
      <c r="M22" s="3">
        <v>40.4</v>
      </c>
    </row>
    <row r="23" spans="1:13">
      <c r="A23" s="8" t="s">
        <v>34</v>
      </c>
      <c r="B23" s="2">
        <f>HYPERLINK("https://www.suredividend.com/sure-analysis-research-database/","Arcellx, Inc.")</f>
        <v>0</v>
      </c>
      <c r="C23" s="1" t="s">
        <v>1959</v>
      </c>
      <c r="D23" s="3">
        <v>69.37</v>
      </c>
      <c r="F23" s="4">
        <v>0</v>
      </c>
      <c r="G23" s="3">
        <v>0</v>
      </c>
      <c r="H23" s="5">
        <v>3982.261126</v>
      </c>
      <c r="J23" s="4">
        <v>0</v>
      </c>
      <c r="K23" s="7">
        <v>1.2472</v>
      </c>
      <c r="L23" s="3">
        <v>94.06999999999999</v>
      </c>
      <c r="M23" s="3">
        <v>47.86</v>
      </c>
    </row>
    <row r="24" spans="1:13">
      <c r="A24" s="8" t="s">
        <v>35</v>
      </c>
      <c r="B24" s="2">
        <f>HYPERLINK("https://www.suredividend.com/sure-analysis-research-database/","ACM Research, Inc.")</f>
        <v>0</v>
      </c>
      <c r="C24" s="1" t="s">
        <v>1960</v>
      </c>
      <c r="D24" s="3">
        <v>54.12</v>
      </c>
      <c r="F24" s="4">
        <v>0</v>
      </c>
      <c r="G24" s="3">
        <v>0</v>
      </c>
      <c r="H24" s="5">
        <v>3467.646306</v>
      </c>
      <c r="I24" s="6">
        <v>29.6104</v>
      </c>
      <c r="J24" s="4">
        <v>0.051626</v>
      </c>
      <c r="L24" s="3">
        <v>54.83</v>
      </c>
      <c r="M24" s="3">
        <v>16.8</v>
      </c>
    </row>
    <row r="25" spans="1:13">
      <c r="A25" s="8" t="s">
        <v>36</v>
      </c>
      <c r="B25" s="2">
        <f>HYPERLINK("https://www.suredividend.com/sure-analysis-ACNB/","ACNB CORP")</f>
        <v>0</v>
      </c>
      <c r="C25" s="1" t="s">
        <v>1962</v>
      </c>
      <c r="D25" s="3">
        <v>50.46</v>
      </c>
      <c r="E25" s="4">
        <v>0.03012286959968292</v>
      </c>
      <c r="F25" s="4">
        <v>0.02457</v>
      </c>
      <c r="G25" s="3">
        <v>0</v>
      </c>
      <c r="H25" s="5">
        <v>526.613817</v>
      </c>
      <c r="I25" s="6">
        <v>16.0353</v>
      </c>
      <c r="J25" s="4">
        <v>0.401419</v>
      </c>
    </row>
    <row r="26" spans="1:13">
      <c r="A26" s="8" t="s">
        <v>37</v>
      </c>
      <c r="B26" s="2">
        <f>HYPERLINK("https://www.suredividend.com/sure-analysis-research-database/","Ares Commercial Real Estate Corp")</f>
        <v>0</v>
      </c>
      <c r="C26" s="1" t="s">
        <v>1961</v>
      </c>
      <c r="D26" s="3">
        <v>4.91</v>
      </c>
      <c r="E26" s="4">
        <v>0.12</v>
      </c>
      <c r="F26" s="4">
        <v>0.22196</v>
      </c>
      <c r="G26" s="3">
        <v>0</v>
      </c>
      <c r="H26" s="5">
        <v>271.830678</v>
      </c>
    </row>
    <row r="27" spans="1:13">
      <c r="A27" s="8" t="s">
        <v>38</v>
      </c>
      <c r="B27" s="2">
        <f>HYPERLINK("https://www.suredividend.com/sure-analysis-research-database/","Acrivon Therapeutics, Inc.")</f>
        <v>0</v>
      </c>
      <c r="C27" s="1" t="s">
        <v>1959</v>
      </c>
      <c r="D27" s="3">
        <v>2.04</v>
      </c>
      <c r="G27" s="3">
        <v>0</v>
      </c>
      <c r="H27" s="5">
        <v>43.649362</v>
      </c>
      <c r="J27" s="4">
        <v>0</v>
      </c>
    </row>
    <row r="28" spans="1:13">
      <c r="A28" s="8" t="s">
        <v>39</v>
      </c>
      <c r="B28" s="2">
        <f>HYPERLINK("https://www.suredividend.com/sure-analysis-research-database/","Enact Holdings, Inc.")</f>
        <v>0</v>
      </c>
      <c r="D28" s="3">
        <v>39.01</v>
      </c>
      <c r="E28" s="4">
        <v>0.06</v>
      </c>
      <c r="F28" s="4">
        <v>0.02453</v>
      </c>
      <c r="G28" s="3">
        <v>0</v>
      </c>
      <c r="H28" s="5">
        <v>4229.80464</v>
      </c>
      <c r="I28" s="6">
        <v>5.9251</v>
      </c>
      <c r="J28" s="4">
        <v>0.180267</v>
      </c>
    </row>
    <row r="29" spans="1:13">
      <c r="A29" s="8" t="s">
        <v>40</v>
      </c>
      <c r="B29" s="2">
        <f>HYPERLINK("https://www.suredividend.com/sure-analysis-research-database/","ACACIA RESEARCH CORP")</f>
        <v>0</v>
      </c>
      <c r="C29" s="1" t="s">
        <v>1964</v>
      </c>
      <c r="D29" s="3">
        <v>4</v>
      </c>
      <c r="G29" s="3">
        <v>0</v>
      </c>
      <c r="H29" s="5">
        <v>385.841512</v>
      </c>
      <c r="I29" s="6">
        <v>79.8018</v>
      </c>
      <c r="J29" s="4">
        <v>0</v>
      </c>
    </row>
    <row r="30" spans="1:13">
      <c r="A30" s="8" t="s">
        <v>41</v>
      </c>
      <c r="B30" s="2">
        <f>HYPERLINK("https://www.suredividend.com/sure-analysis-research-database/","ACV Auctions Inc.")</f>
        <v>0</v>
      </c>
      <c r="C30" s="1" t="s">
        <v>1959</v>
      </c>
      <c r="D30" s="3">
        <v>8.470000000000001</v>
      </c>
      <c r="G30" s="3">
        <v>0</v>
      </c>
      <c r="H30" s="5">
        <v>1458.290276</v>
      </c>
      <c r="J30" s="4">
        <v>0</v>
      </c>
    </row>
    <row r="31" spans="1:13">
      <c r="A31" s="8" t="s">
        <v>42</v>
      </c>
      <c r="B31" s="2">
        <f>HYPERLINK("https://www.suredividend.com/sure-analysis-research-database/","ADC Therapeutics SA")</f>
        <v>0</v>
      </c>
      <c r="C31" s="1" t="s">
        <v>1959</v>
      </c>
      <c r="D31" s="3">
        <v>3.575</v>
      </c>
      <c r="G31" s="3">
        <v>0</v>
      </c>
      <c r="H31" s="5">
        <v>442.241286</v>
      </c>
      <c r="J31" s="4">
        <v>0</v>
      </c>
      <c r="L31" s="3">
        <v>4.8</v>
      </c>
      <c r="M31" s="3">
        <v>1.05</v>
      </c>
    </row>
    <row r="32" spans="1:13">
      <c r="A32" s="8" t="s">
        <v>43</v>
      </c>
      <c r="B32" s="2">
        <f>HYPERLINK("https://www.suredividend.com/sure-analysis-research-database/","Adeia Inc.")</f>
        <v>0</v>
      </c>
      <c r="C32" s="1" t="s">
        <v>1959</v>
      </c>
      <c r="D32" s="3">
        <v>19.85</v>
      </c>
      <c r="E32" s="4">
        <v>0.01</v>
      </c>
      <c r="F32" s="4">
        <v>0.009140000000000001</v>
      </c>
      <c r="G32" s="3">
        <v>0</v>
      </c>
      <c r="H32" s="5">
        <v>2088.574491</v>
      </c>
      <c r="I32" s="6">
        <v>28.4578</v>
      </c>
      <c r="J32" s="4">
        <v>0.296926</v>
      </c>
    </row>
    <row r="33" spans="1:13">
      <c r="A33" s="8" t="s">
        <v>44</v>
      </c>
      <c r="B33" s="2">
        <f>HYPERLINK("https://www.suredividend.com/sure-analysis-research-database/","ADMA BIOLOGICS, INC.")</f>
        <v>0</v>
      </c>
      <c r="C33" s="1" t="s">
        <v>1965</v>
      </c>
      <c r="D33" s="3">
        <v>17.36</v>
      </c>
      <c r="G33" s="3">
        <v>0</v>
      </c>
      <c r="J33" s="4">
        <v>0</v>
      </c>
      <c r="L33" s="3">
        <v>25.67</v>
      </c>
      <c r="M33" s="3">
        <v>13.5</v>
      </c>
    </row>
    <row r="34" spans="1:13">
      <c r="A34" s="8" t="s">
        <v>45</v>
      </c>
      <c r="B34" s="2">
        <f>HYPERLINK("https://www.suredividend.com/sure-analysis-research-database/","Adient plc")</f>
        <v>0</v>
      </c>
      <c r="C34" s="1" t="s">
        <v>1963</v>
      </c>
      <c r="D34" s="3">
        <v>22.34</v>
      </c>
      <c r="G34" s="3">
        <v>0</v>
      </c>
      <c r="H34" s="5">
        <v>1769.035958</v>
      </c>
      <c r="L34" s="3">
        <v>26.16</v>
      </c>
      <c r="M34" s="3">
        <v>10.04</v>
      </c>
    </row>
    <row r="35" spans="1:13">
      <c r="A35" s="8" t="s">
        <v>46</v>
      </c>
      <c r="B35" s="2">
        <f>HYPERLINK("https://www.suredividend.com/sure-analysis-research-database/","Adaptive Biotechnologies Corp")</f>
        <v>0</v>
      </c>
      <c r="C35" s="1" t="s">
        <v>1965</v>
      </c>
      <c r="D35" s="3">
        <v>17.54</v>
      </c>
      <c r="G35" s="3">
        <v>0</v>
      </c>
      <c r="H35" s="5">
        <v>2682.327353</v>
      </c>
      <c r="J35" s="4">
        <v>0</v>
      </c>
      <c r="L35" s="3">
        <v>20.76</v>
      </c>
      <c r="M35" s="3">
        <v>6.26</v>
      </c>
    </row>
    <row r="36" spans="1:13">
      <c r="A36" s="8" t="s">
        <v>47</v>
      </c>
      <c r="B36" s="2">
        <f>HYPERLINK("https://www.suredividend.com/sure-analysis-research-database/","ADTRAN Holdings, Inc.")</f>
        <v>0</v>
      </c>
      <c r="C36" s="1" t="s">
        <v>1960</v>
      </c>
      <c r="D36" s="3">
        <v>9.529999999999999</v>
      </c>
      <c r="F36" s="4">
        <v>0.01022</v>
      </c>
      <c r="G36" s="3">
        <v>0.36</v>
      </c>
      <c r="H36" s="5">
        <v>744.277594</v>
      </c>
      <c r="J36" s="4">
        <v>0</v>
      </c>
      <c r="K36" s="7">
        <v>1.6633</v>
      </c>
    </row>
    <row r="37" spans="1:13">
      <c r="A37" s="8" t="s">
        <v>48</v>
      </c>
      <c r="B37" s="2">
        <f>HYPERLINK("https://www.suredividend.com/sure-analysis-research-database/","Addus HomeCare Corp")</f>
        <v>0</v>
      </c>
      <c r="C37" s="1" t="s">
        <v>1965</v>
      </c>
      <c r="D37" s="3">
        <v>109.58</v>
      </c>
      <c r="F37" s="4">
        <v>0</v>
      </c>
      <c r="G37" s="3">
        <v>0</v>
      </c>
      <c r="H37" s="5">
        <v>2028.35416</v>
      </c>
      <c r="I37" s="6">
        <v>23.6808</v>
      </c>
      <c r="J37" s="4">
        <v>0</v>
      </c>
      <c r="K37" s="7">
        <v>0.4523</v>
      </c>
      <c r="L37" s="3">
        <v>136.72</v>
      </c>
      <c r="M37" s="3">
        <v>88.95999999999999</v>
      </c>
    </row>
    <row r="38" spans="1:13">
      <c r="A38" s="8" t="s">
        <v>49</v>
      </c>
      <c r="B38" s="2">
        <f>HYPERLINK("https://www.suredividend.com/sure-analysis-research-database/","Advantage Solutions Inc.")</f>
        <v>0</v>
      </c>
      <c r="C38" s="1" t="s">
        <v>1959</v>
      </c>
      <c r="D38" s="3">
        <v>0.7989000000000001</v>
      </c>
      <c r="F38" s="4">
        <v>0</v>
      </c>
      <c r="G38" s="3">
        <v>0</v>
      </c>
      <c r="H38" s="5">
        <v>260.006089</v>
      </c>
      <c r="J38" s="4">
        <v>0</v>
      </c>
      <c r="K38" s="7">
        <v>1.7131</v>
      </c>
      <c r="L38" s="3">
        <v>2.95</v>
      </c>
      <c r="M38" s="3">
        <v>0.76</v>
      </c>
    </row>
    <row r="39" spans="1:13">
      <c r="A39" s="8" t="s">
        <v>50</v>
      </c>
      <c r="B39" s="2">
        <f>HYPERLINK("https://www.suredividend.com/sure-analysis-research-database/","Adverum Biotechnologies, Inc.")</f>
        <v>0</v>
      </c>
      <c r="C39" s="1" t="s">
        <v>1965</v>
      </c>
      <c r="D39" s="3">
        <v>4.5</v>
      </c>
      <c r="F39" s="4">
        <v>0</v>
      </c>
      <c r="G39" s="3">
        <v>0</v>
      </c>
      <c r="H39" s="5">
        <v>96.257756</v>
      </c>
      <c r="J39" s="4">
        <v>0</v>
      </c>
      <c r="K39" s="7">
        <v>1.0044</v>
      </c>
    </row>
    <row r="40" spans="1:13">
      <c r="A40" s="8" t="s">
        <v>51</v>
      </c>
      <c r="B40" s="2">
        <f>HYPERLINK("https://www.suredividend.com/sure-analysis-research-database/","AEHR TEST SYSTEMS")</f>
        <v>0</v>
      </c>
      <c r="C40" s="1" t="s">
        <v>1960</v>
      </c>
      <c r="D40" s="3">
        <v>29.91</v>
      </c>
      <c r="F40" s="4">
        <v>0</v>
      </c>
      <c r="G40" s="3">
        <v>0</v>
      </c>
      <c r="H40" s="5">
        <v>894.318386</v>
      </c>
      <c r="J40" s="4">
        <v>0</v>
      </c>
      <c r="K40" s="7">
        <v>1.8415</v>
      </c>
      <c r="L40" s="3">
        <v>34.35</v>
      </c>
      <c r="M40" s="3">
        <v>6.27</v>
      </c>
    </row>
    <row r="41" spans="1:13">
      <c r="A41" s="8" t="s">
        <v>52</v>
      </c>
      <c r="B41" s="2">
        <f>HYPERLINK("https://www.suredividend.com/sure-analysis-research-database/","ADVANCED ENERGY INDUSTRIES INC")</f>
        <v>0</v>
      </c>
      <c r="C41" s="1" t="s">
        <v>1964</v>
      </c>
      <c r="D41" s="3">
        <v>274</v>
      </c>
      <c r="F41" s="4">
        <v>0.0019</v>
      </c>
      <c r="G41" s="3">
        <v>0.4</v>
      </c>
      <c r="H41" s="5">
        <v>10153.536541</v>
      </c>
      <c r="I41" s="6">
        <v>70.0176</v>
      </c>
      <c r="J41" s="4">
        <v>0.105983</v>
      </c>
      <c r="K41" s="7">
        <v>1.7513</v>
      </c>
      <c r="L41" s="3">
        <v>271.62</v>
      </c>
      <c r="M41" s="3">
        <v>74.86</v>
      </c>
    </row>
    <row r="42" spans="1:13">
      <c r="A42" s="8" t="s">
        <v>53</v>
      </c>
      <c r="B42" s="2">
        <f>HYPERLINK("https://www.suredividend.com/sure-analysis-research-database/","AMERICAN EAGLE OUTFITTERS INC")</f>
        <v>0</v>
      </c>
      <c r="C42" s="1" t="s">
        <v>1963</v>
      </c>
      <c r="D42" s="3">
        <v>25.71</v>
      </c>
      <c r="E42" s="4">
        <v>0.02</v>
      </c>
      <c r="F42" s="4">
        <v>0.01743</v>
      </c>
      <c r="G42" s="3">
        <v>0.5</v>
      </c>
      <c r="H42" s="5">
        <v>4407.312156</v>
      </c>
      <c r="I42" s="6">
        <v>21.146</v>
      </c>
      <c r="J42" s="4">
        <v>0.421446</v>
      </c>
      <c r="K42" s="7">
        <v>1.0876</v>
      </c>
      <c r="L42" s="3">
        <v>28.33</v>
      </c>
      <c r="M42" s="3">
        <v>9.039999999999999</v>
      </c>
    </row>
    <row r="43" spans="1:13">
      <c r="A43" s="8" t="s">
        <v>54</v>
      </c>
      <c r="B43" s="2">
        <f>HYPERLINK("https://www.suredividend.com/sure-analysis-research-database/","Atlas Energy Solutions Inc.")</f>
        <v>0</v>
      </c>
      <c r="C43" s="1" t="s">
        <v>1959</v>
      </c>
      <c r="D43" s="3">
        <v>11.59</v>
      </c>
      <c r="E43" s="4">
        <v>0.09</v>
      </c>
      <c r="F43" s="4">
        <v>0.04057</v>
      </c>
      <c r="G43" s="3">
        <v>0</v>
      </c>
      <c r="H43" s="5">
        <v>2318</v>
      </c>
      <c r="L43" s="3">
        <v>25.51</v>
      </c>
      <c r="M43" s="3">
        <v>7.64</v>
      </c>
    </row>
    <row r="44" spans="1:13">
      <c r="A44" s="8" t="s">
        <v>55</v>
      </c>
      <c r="B44" s="2">
        <f>HYPERLINK("https://www.suredividend.com/sure-analysis-research-database/","Aeva Technologies, Inc.")</f>
        <v>0</v>
      </c>
      <c r="C44" s="1" t="s">
        <v>1959</v>
      </c>
      <c r="D44" s="3">
        <v>18.47</v>
      </c>
      <c r="G44" s="3">
        <v>0</v>
      </c>
      <c r="H44" s="5">
        <v>1092.853527</v>
      </c>
      <c r="J44" s="4">
        <v>0</v>
      </c>
    </row>
    <row r="45" spans="1:13">
      <c r="A45" s="8" t="s">
        <v>56</v>
      </c>
      <c r="B45" s="2">
        <f>HYPERLINK("https://www.suredividend.com/sure-analysis-research-database/","AUDIOEYE INC")</f>
        <v>0</v>
      </c>
      <c r="C45" s="1" t="s">
        <v>1960</v>
      </c>
      <c r="D45" s="3">
        <v>9</v>
      </c>
      <c r="G45" s="3">
        <v>0</v>
      </c>
      <c r="H45" s="5">
        <v>110.401505</v>
      </c>
      <c r="J45" s="4">
        <v>0</v>
      </c>
    </row>
    <row r="46" spans="1:13">
      <c r="A46" s="8" t="s">
        <v>57</v>
      </c>
      <c r="B46" s="2">
        <f>HYPERLINK("https://www.suredividend.com/sure-analysis-research-database/","Advanced Flower Capital Inc.")</f>
        <v>0</v>
      </c>
      <c r="C46" s="1" t="s">
        <v>1959</v>
      </c>
      <c r="D46" s="3">
        <v>2.42</v>
      </c>
      <c r="E46" s="4">
        <v>0.35</v>
      </c>
      <c r="F46" s="4">
        <v>0.45569</v>
      </c>
      <c r="G46" s="3">
        <v>0</v>
      </c>
      <c r="H46" s="5">
        <v>54.904735</v>
      </c>
    </row>
    <row r="47" spans="1:13">
      <c r="A47" s="8" t="s">
        <v>58</v>
      </c>
      <c r="B47" s="2">
        <f>HYPERLINK("https://www.suredividend.com/sure-analysis-research-database/","Forafric Global PLC")</f>
        <v>0</v>
      </c>
      <c r="C47" s="1" t="s">
        <v>1959</v>
      </c>
      <c r="D47" s="3">
        <v>10.16</v>
      </c>
      <c r="G47" s="3">
        <v>0</v>
      </c>
      <c r="H47" s="5">
        <v>273.051159</v>
      </c>
      <c r="J47" s="4">
        <v>0</v>
      </c>
      <c r="L47" s="3">
        <v>11.42</v>
      </c>
      <c r="M47" s="3">
        <v>7.47</v>
      </c>
    </row>
    <row r="48" spans="1:13">
      <c r="A48" s="8" t="s">
        <v>59</v>
      </c>
      <c r="B48" s="2">
        <f>HYPERLINK("https://www.suredividend.com/sure-analysis-research-database/","AGENUS INC")</f>
        <v>0</v>
      </c>
      <c r="C48" s="1" t="s">
        <v>1965</v>
      </c>
      <c r="D48" s="3">
        <v>3.41</v>
      </c>
      <c r="G48" s="3">
        <v>0</v>
      </c>
      <c r="H48" s="5">
        <v>115.628387</v>
      </c>
      <c r="J48" s="4">
        <v>0</v>
      </c>
      <c r="L48" s="3">
        <v>7.34</v>
      </c>
      <c r="M48" s="3">
        <v>1.38</v>
      </c>
    </row>
    <row r="49" spans="1:13">
      <c r="A49" s="8" t="s">
        <v>60</v>
      </c>
      <c r="B49" s="2">
        <f>HYPERLINK("https://www.suredividend.com/sure-analysis-research-database/","AGIOS PHARMACEUTICALS, INC.")</f>
        <v>0</v>
      </c>
      <c r="C49" s="1" t="s">
        <v>1965</v>
      </c>
      <c r="D49" s="3">
        <v>27.74</v>
      </c>
      <c r="G49" s="3">
        <v>0</v>
      </c>
      <c r="H49" s="5">
        <v>1584.386272</v>
      </c>
      <c r="J49" s="4">
        <v>0</v>
      </c>
      <c r="L49" s="3">
        <v>46</v>
      </c>
      <c r="M49" s="3">
        <v>22.24</v>
      </c>
    </row>
    <row r="50" spans="1:13">
      <c r="A50" s="8" t="s">
        <v>61</v>
      </c>
      <c r="B50" s="2">
        <f>HYPERLINK("https://www.suredividend.com/sure-analysis-research-database/","agilon health, inc.")</f>
        <v>0</v>
      </c>
      <c r="C50" s="1" t="s">
        <v>1959</v>
      </c>
      <c r="D50" s="3">
        <v>0.9606</v>
      </c>
      <c r="G50" s="3">
        <v>0</v>
      </c>
      <c r="H50" s="5">
        <v>395.137727</v>
      </c>
      <c r="J50" s="4">
        <v>0</v>
      </c>
      <c r="L50" s="3">
        <v>6.08</v>
      </c>
      <c r="M50" s="3">
        <v>0.51</v>
      </c>
    </row>
    <row r="51" spans="1:13">
      <c r="A51" s="8" t="s">
        <v>62</v>
      </c>
      <c r="B51" s="2">
        <f>HYPERLINK("https://www.suredividend.com/sure-analysis-AGM/","FEDERAL AGRICULTURAL MORTGAGE CORP")</f>
        <v>0</v>
      </c>
      <c r="C51" s="1" t="s">
        <v>1962</v>
      </c>
      <c r="D51" s="3">
        <v>174.35</v>
      </c>
      <c r="E51" s="4">
        <v>0.03441353599082306</v>
      </c>
      <c r="F51" s="4">
        <v>0.02645</v>
      </c>
      <c r="G51" s="3">
        <v>0</v>
      </c>
      <c r="H51" s="5">
        <v>1901.347502</v>
      </c>
      <c r="I51" s="6">
        <v>9.8667</v>
      </c>
      <c r="J51" s="4">
        <v>0.398857</v>
      </c>
      <c r="L51" s="3">
        <v>207.31</v>
      </c>
      <c r="M51" s="3">
        <v>153.72</v>
      </c>
    </row>
    <row r="52" spans="1:13">
      <c r="A52" s="8" t="s">
        <v>63</v>
      </c>
      <c r="B52" s="2">
        <f>HYPERLINK("https://www.suredividend.com/sure-analysis-research-database/","PlayAGS, Inc.")</f>
        <v>0</v>
      </c>
      <c r="C52" s="1" t="s">
        <v>1963</v>
      </c>
      <c r="D52" s="3">
        <v>12.48</v>
      </c>
      <c r="G52" s="3">
        <v>0</v>
      </c>
      <c r="H52" s="5">
        <v>518.403595</v>
      </c>
      <c r="I52" s="6">
        <v>10.2632</v>
      </c>
      <c r="J52" s="4">
        <v>0</v>
      </c>
    </row>
    <row r="53" spans="1:13">
      <c r="A53" s="8" t="s">
        <v>64</v>
      </c>
      <c r="B53" s="2">
        <f>HYPERLINK("https://www.suredividend.com/sure-analysis-research-database/","ARGAN INC")</f>
        <v>0</v>
      </c>
      <c r="C53" s="1" t="s">
        <v>1964</v>
      </c>
      <c r="D53" s="3">
        <v>397.92</v>
      </c>
      <c r="F53" s="4">
        <v>0.00366</v>
      </c>
      <c r="G53" s="3">
        <v>0</v>
      </c>
      <c r="H53" s="5">
        <v>5506.633897</v>
      </c>
      <c r="I53" s="6">
        <v>42.8659</v>
      </c>
      <c r="J53" s="4">
        <v>0.185982</v>
      </c>
      <c r="L53" s="3">
        <v>399.3</v>
      </c>
      <c r="M53" s="3">
        <v>100.36</v>
      </c>
    </row>
    <row r="54" spans="1:13">
      <c r="A54" s="8" t="s">
        <v>65</v>
      </c>
      <c r="B54" s="2">
        <f>HYPERLINK("https://www.suredividend.com/sure-analysis-research-database/","AGILYSYS INC")</f>
        <v>0</v>
      </c>
      <c r="C54" s="1" t="s">
        <v>1960</v>
      </c>
      <c r="D54" s="3">
        <v>107.17</v>
      </c>
      <c r="G54" s="3">
        <v>0</v>
      </c>
      <c r="H54" s="5">
        <v>3006.998133</v>
      </c>
      <c r="I54" s="6">
        <v>39.6832</v>
      </c>
      <c r="J54" s="4">
        <v>0</v>
      </c>
      <c r="L54" s="3">
        <v>145.25</v>
      </c>
      <c r="M54" s="3">
        <v>63.71</v>
      </c>
    </row>
    <row r="55" spans="1:13">
      <c r="A55" s="8" t="s">
        <v>66</v>
      </c>
      <c r="B55" s="2">
        <f>HYPERLINK("https://www.suredividend.com/sure-analysis-research-database/","AdaptHealth Corp.")</f>
        <v>0</v>
      </c>
      <c r="C55" s="1" t="s">
        <v>1965</v>
      </c>
      <c r="D55" s="3">
        <v>10.52</v>
      </c>
      <c r="F55" s="4">
        <v>0</v>
      </c>
      <c r="G55" s="3">
        <v>0</v>
      </c>
      <c r="H55" s="5">
        <v>1424.663994</v>
      </c>
      <c r="I55" s="6">
        <v>17.3237</v>
      </c>
      <c r="J55" s="4">
        <v>0.086603</v>
      </c>
      <c r="K55" s="7">
        <v>0.9505</v>
      </c>
      <c r="L55" s="3">
        <v>11.63</v>
      </c>
      <c r="M55" s="3">
        <v>7.11</v>
      </c>
    </row>
    <row r="56" spans="1:13">
      <c r="A56" s="8" t="s">
        <v>67</v>
      </c>
      <c r="B56" s="2">
        <f>HYPERLINK("https://www.suredividend.com/sure-analysis-research-database/","Armada Hoffler Properties, Inc.")</f>
        <v>0</v>
      </c>
      <c r="C56" s="1" t="s">
        <v>1961</v>
      </c>
      <c r="D56" s="3">
        <v>7</v>
      </c>
      <c r="E56" s="4">
        <v>0.08</v>
      </c>
      <c r="F56" s="4">
        <v>0.10353</v>
      </c>
      <c r="G56" s="3">
        <v>0.5600000000000001</v>
      </c>
      <c r="H56" s="5">
        <v>561.073744</v>
      </c>
      <c r="I56" s="6">
        <v>37.1228</v>
      </c>
      <c r="J56" s="4">
        <v>2.982329</v>
      </c>
      <c r="K56" s="7">
        <v>0.8951</v>
      </c>
      <c r="L56" s="3">
        <v>9.48</v>
      </c>
      <c r="M56" s="3">
        <v>5.74</v>
      </c>
    </row>
    <row r="57" spans="1:13">
      <c r="A57" s="8" t="s">
        <v>68</v>
      </c>
      <c r="B57" s="2">
        <f>HYPERLINK("https://www.suredividend.com/sure-analysis-research-database/","American Healthcare REIT, Inc.")</f>
        <v>0</v>
      </c>
      <c r="C57" s="1" t="s">
        <v>1959</v>
      </c>
      <c r="D57" s="3">
        <v>48.64</v>
      </c>
      <c r="E57" s="4">
        <v>0.02</v>
      </c>
      <c r="F57" s="4">
        <v>0.008449999999999999</v>
      </c>
      <c r="G57" s="3">
        <v>1</v>
      </c>
      <c r="H57" s="5">
        <v>8604.816696</v>
      </c>
      <c r="I57" s="6">
        <v>315.6804</v>
      </c>
      <c r="J57" s="4">
        <v>5.882473</v>
      </c>
      <c r="K57" s="7">
        <v>0.8149999999999999</v>
      </c>
      <c r="L57" s="3">
        <v>50.75</v>
      </c>
      <c r="M57" s="3">
        <v>25.92</v>
      </c>
    </row>
    <row r="58" spans="1:13">
      <c r="A58" s="8" t="s">
        <v>69</v>
      </c>
      <c r="B58" s="2">
        <f>HYPERLINK("https://www.suredividend.com/sure-analysis-research-database/","C3.ai, Inc.")</f>
        <v>0</v>
      </c>
      <c r="C58" s="1" t="s">
        <v>1961</v>
      </c>
      <c r="D58" s="3">
        <v>12.71</v>
      </c>
      <c r="F58" s="4">
        <v>0</v>
      </c>
      <c r="G58" s="3">
        <v>0</v>
      </c>
      <c r="H58" s="5">
        <v>1776.306406</v>
      </c>
      <c r="J58" s="4">
        <v>0</v>
      </c>
      <c r="K58" s="7">
        <v>2.7171</v>
      </c>
      <c r="L58" s="3">
        <v>35.98</v>
      </c>
      <c r="M58" s="3">
        <v>12.27</v>
      </c>
    </row>
    <row r="59" spans="1:13">
      <c r="A59" s="8" t="s">
        <v>70</v>
      </c>
      <c r="B59" s="2">
        <f>HYPERLINK("https://www.suredividend.com/sure-analysis-AIN/","ALBANY INTERNATIONAL CORP /DE/")</f>
        <v>0</v>
      </c>
      <c r="C59" s="1" t="s">
        <v>1963</v>
      </c>
      <c r="D59" s="3">
        <v>57.55</v>
      </c>
      <c r="E59" s="4">
        <v>0.01946133796698523</v>
      </c>
      <c r="F59" s="4">
        <v>0.01766</v>
      </c>
      <c r="G59" s="3">
        <v>1.09</v>
      </c>
      <c r="H59" s="5">
        <v>1652.833</v>
      </c>
      <c r="K59" s="7">
        <v>1.2243</v>
      </c>
      <c r="L59" s="3">
        <v>82.2</v>
      </c>
      <c r="M59" s="3">
        <v>40.93</v>
      </c>
    </row>
    <row r="60" spans="1:13">
      <c r="A60" s="8" t="s">
        <v>71</v>
      </c>
      <c r="B60" s="2">
        <f>HYPERLINK("https://www.suredividend.com/sure-analysis-research-database/","PowerFleet Inc.")</f>
        <v>0</v>
      </c>
      <c r="C60" s="1" t="s">
        <v>1959</v>
      </c>
      <c r="D60" s="3">
        <v>5.65</v>
      </c>
      <c r="F60" s="4">
        <v>0</v>
      </c>
      <c r="G60" s="3">
        <v>0</v>
      </c>
      <c r="H60" s="5">
        <v>733.358923</v>
      </c>
      <c r="J60" s="4">
        <v>0.000145</v>
      </c>
      <c r="K60" s="7">
        <v>2.2239</v>
      </c>
      <c r="L60" s="3">
        <v>8.710000000000001</v>
      </c>
      <c r="M60" s="3">
        <v>3.7</v>
      </c>
    </row>
    <row r="61" spans="1:13">
      <c r="A61" s="8" t="s">
        <v>72</v>
      </c>
      <c r="B61" s="2">
        <f>HYPERLINK("https://www.suredividend.com/sure-analysis-research-database/","Arteris, Inc.")</f>
        <v>0</v>
      </c>
      <c r="C61" s="1" t="s">
        <v>1959</v>
      </c>
      <c r="D61" s="3">
        <v>17</v>
      </c>
      <c r="F61" s="4">
        <v>0</v>
      </c>
      <c r="G61" s="3">
        <v>0</v>
      </c>
      <c r="H61" s="5">
        <v>736.508413</v>
      </c>
      <c r="J61" s="4">
        <v>0</v>
      </c>
      <c r="K61" s="7">
        <v>1.8899</v>
      </c>
      <c r="L61" s="3">
        <v>19.85</v>
      </c>
      <c r="M61" s="3">
        <v>5.46</v>
      </c>
    </row>
    <row r="62" spans="1:13">
      <c r="A62" s="8" t="s">
        <v>73</v>
      </c>
      <c r="B62" s="2">
        <f>HYPERLINK("https://www.suredividend.com/sure-analysis-research-database/","AAR CORP")</f>
        <v>0</v>
      </c>
      <c r="C62" s="1" t="s">
        <v>1964</v>
      </c>
      <c r="D62" s="3">
        <v>108.42</v>
      </c>
      <c r="F62" s="4">
        <v>0</v>
      </c>
      <c r="G62" s="3">
        <v>0.38</v>
      </c>
      <c r="H62" s="5">
        <v>4236.632706</v>
      </c>
      <c r="I62" s="6">
        <v>45.0227</v>
      </c>
      <c r="J62" s="4">
        <v>0</v>
      </c>
      <c r="K62" s="7">
        <v>1.0395</v>
      </c>
      <c r="L62" s="3">
        <v>107.05</v>
      </c>
      <c r="M62" s="3">
        <v>46.51</v>
      </c>
    </row>
    <row r="63" spans="1:13">
      <c r="A63" s="8" t="s">
        <v>74</v>
      </c>
      <c r="B63" s="2">
        <f>HYPERLINK("https://www.suredividend.com/sure-analysis-research-database/","Airsculpt Technologies, Inc.")</f>
        <v>0</v>
      </c>
      <c r="C63" s="1" t="s">
        <v>1959</v>
      </c>
      <c r="D63" s="3">
        <v>3</v>
      </c>
      <c r="F63" s="4">
        <v>0.03628</v>
      </c>
      <c r="G63" s="3">
        <v>0.41</v>
      </c>
      <c r="H63" s="5">
        <v>184.188177</v>
      </c>
      <c r="K63" s="7">
        <v>2.6654</v>
      </c>
      <c r="L63" s="3">
        <v>12</v>
      </c>
      <c r="M63" s="3">
        <v>1.53</v>
      </c>
    </row>
    <row r="64" spans="1:13">
      <c r="A64" s="8" t="s">
        <v>75</v>
      </c>
      <c r="B64" s="2">
        <f>HYPERLINK("https://www.suredividend.com/sure-analysis-research-database/","Airship AI Holdings, Inc.")</f>
        <v>0</v>
      </c>
      <c r="C64" s="1" t="s">
        <v>1959</v>
      </c>
      <c r="D64" s="3">
        <v>3.86</v>
      </c>
      <c r="F64" s="4">
        <v>0</v>
      </c>
      <c r="G64" s="3">
        <v>0</v>
      </c>
      <c r="H64" s="5">
        <v>131.917673</v>
      </c>
      <c r="J64" s="4">
        <v>0</v>
      </c>
      <c r="L64" s="3">
        <v>7.2</v>
      </c>
      <c r="M64" s="3">
        <v>2.71</v>
      </c>
    </row>
    <row r="65" spans="1:13">
      <c r="A65" s="8" t="s">
        <v>76</v>
      </c>
      <c r="B65" s="2">
        <f>HYPERLINK("https://www.suredividend.com/sure-analysis-AIT/","APPLIED INDUSTRIAL TECHNOLOGIES INC")</f>
        <v>0</v>
      </c>
      <c r="C65" s="1" t="s">
        <v>1964</v>
      </c>
      <c r="D65" s="3">
        <v>284.25</v>
      </c>
      <c r="E65" s="4">
        <v>0.006473175021987687</v>
      </c>
      <c r="F65" s="4">
        <v>0.00531</v>
      </c>
      <c r="G65" s="3">
        <v>0</v>
      </c>
      <c r="H65" s="5">
        <v>10711.88644</v>
      </c>
      <c r="I65" s="6">
        <v>26.6643</v>
      </c>
      <c r="J65" s="4">
        <v>0.166447</v>
      </c>
      <c r="L65" s="3">
        <v>284.76</v>
      </c>
      <c r="M65" s="3">
        <v>198.86</v>
      </c>
    </row>
    <row r="66" spans="1:13">
      <c r="A66" s="8" t="s">
        <v>77</v>
      </c>
      <c r="B66" s="2">
        <f>HYPERLINK("https://www.suredividend.com/sure-analysis-research-database/","APARTMENT INVESTMENT &amp; MANAGEMENT CO")</f>
        <v>0</v>
      </c>
      <c r="C66" s="1" t="s">
        <v>1961</v>
      </c>
      <c r="D66" s="3">
        <v>5.92</v>
      </c>
      <c r="E66" s="4">
        <v>0.48</v>
      </c>
      <c r="F66" s="4">
        <v>0.09644999999999999</v>
      </c>
      <c r="G66" s="3">
        <v>0</v>
      </c>
      <c r="H66" s="5">
        <v>854.3679519999999</v>
      </c>
      <c r="I66" s="6">
        <v>3.5062</v>
      </c>
      <c r="J66" s="4">
        <v>0.511722</v>
      </c>
      <c r="L66" s="3">
        <v>6.65</v>
      </c>
      <c r="M66" s="3">
        <v>4.93</v>
      </c>
    </row>
    <row r="67" spans="1:13">
      <c r="A67" s="8" t="s">
        <v>78</v>
      </c>
      <c r="B67" s="2">
        <f>HYPERLINK("https://www.suredividend.com/sure-analysis-research-database/","Akebia Therapeutics, Inc.")</f>
        <v>0</v>
      </c>
      <c r="C67" s="1" t="s">
        <v>1965</v>
      </c>
      <c r="D67" s="3">
        <v>1.37</v>
      </c>
      <c r="G67" s="3">
        <v>0</v>
      </c>
      <c r="H67" s="5">
        <v>363.55141</v>
      </c>
      <c r="J67" s="4">
        <v>0</v>
      </c>
    </row>
    <row r="68" spans="1:13">
      <c r="A68" s="8" t="s">
        <v>79</v>
      </c>
      <c r="B68" s="2">
        <f>HYPERLINK("https://www.suredividend.com/sure-analysis-AKR/","ACADIA REALTY TRUST")</f>
        <v>0</v>
      </c>
      <c r="C68" s="1" t="s">
        <v>1961</v>
      </c>
      <c r="D68" s="3">
        <v>20.58</v>
      </c>
      <c r="E68" s="4">
        <v>0.03887269193391643</v>
      </c>
      <c r="F68" s="4">
        <v>0.03398</v>
      </c>
      <c r="G68" s="3">
        <v>0</v>
      </c>
      <c r="H68" s="5">
        <v>2696.692562</v>
      </c>
      <c r="I68" s="6">
        <v>152.2437</v>
      </c>
    </row>
    <row r="69" spans="1:13">
      <c r="A69" s="8" t="s">
        <v>80</v>
      </c>
      <c r="B69" s="2">
        <f>HYPERLINK("https://www.suredividend.com/sure-analysis-research-database/","Akero Therapeutics, Inc.")</f>
        <v>0</v>
      </c>
      <c r="C69" s="1" t="s">
        <v>1965</v>
      </c>
      <c r="D69" s="3">
        <v>54.65</v>
      </c>
      <c r="G69" s="3">
        <v>0</v>
      </c>
      <c r="H69" s="5">
        <v>4498.579182</v>
      </c>
      <c r="J69" s="4">
        <v>0</v>
      </c>
    </row>
    <row r="70" spans="1:13">
      <c r="A70" s="8" t="s">
        <v>81</v>
      </c>
      <c r="B70" s="2">
        <f>HYPERLINK("https://www.suredividend.com/sure-analysis-research-database/","Akoya Biosciences, Inc.")</f>
        <v>0</v>
      </c>
      <c r="C70" s="1" t="s">
        <v>1959</v>
      </c>
      <c r="D70" s="3">
        <v>1.27</v>
      </c>
      <c r="G70" s="3">
        <v>0</v>
      </c>
      <c r="H70" s="5">
        <v>64.339265</v>
      </c>
      <c r="J70" s="4">
        <v>0</v>
      </c>
    </row>
    <row r="71" spans="1:13">
      <c r="A71" s="8" t="s">
        <v>82</v>
      </c>
      <c r="B71" s="2">
        <f>HYPERLINK("https://www.suredividend.com/sure-analysis-research-database/","ALICO, INC.")</f>
        <v>0</v>
      </c>
      <c r="C71" s="1" t="s">
        <v>1966</v>
      </c>
      <c r="D71" s="3">
        <v>40.74</v>
      </c>
      <c r="F71" s="4">
        <v>0.02136</v>
      </c>
      <c r="G71" s="3">
        <v>0</v>
      </c>
      <c r="H71" s="5">
        <v>312.697423</v>
      </c>
    </row>
    <row r="72" spans="1:13">
      <c r="A72" s="8" t="s">
        <v>83</v>
      </c>
      <c r="B72" s="2">
        <f>HYPERLINK("https://www.suredividend.com/sure-analysis-research-database/","Aldeyra Therapeutics, Inc.")</f>
        <v>0</v>
      </c>
      <c r="C72" s="1" t="s">
        <v>1965</v>
      </c>
      <c r="D72" s="3">
        <v>4.99</v>
      </c>
      <c r="G72" s="3">
        <v>0</v>
      </c>
      <c r="H72" s="5">
        <v>300.212237</v>
      </c>
      <c r="J72" s="4">
        <v>0</v>
      </c>
    </row>
    <row r="73" spans="1:13">
      <c r="A73" s="8" t="s">
        <v>84</v>
      </c>
      <c r="B73" s="2">
        <f>HYPERLINK("https://www.suredividend.com/sure-analysis-research-database/","Alps Alpine Co., Ltd.")</f>
        <v>0</v>
      </c>
      <c r="C73" s="1" t="s">
        <v>1967</v>
      </c>
      <c r="D73" s="3">
        <v>67.925</v>
      </c>
      <c r="E73" s="4">
        <v>0.04</v>
      </c>
      <c r="F73" s="4">
        <v>0.03782</v>
      </c>
      <c r="G73" s="3">
        <v>0</v>
      </c>
      <c r="H73" s="5">
        <v>3944.881292</v>
      </c>
      <c r="I73" s="6">
        <v>23.8074</v>
      </c>
      <c r="J73" s="4">
        <v>1.962025</v>
      </c>
    </row>
    <row r="74" spans="1:13">
      <c r="A74" s="8" t="s">
        <v>85</v>
      </c>
      <c r="B74" s="2">
        <f>HYPERLINK("https://www.suredividend.com/sure-analysis-research-database/","Alector, Inc.")</f>
        <v>0</v>
      </c>
      <c r="C74" s="1" t="s">
        <v>1965</v>
      </c>
      <c r="D74" s="3">
        <v>1.92</v>
      </c>
      <c r="G74" s="3">
        <v>0</v>
      </c>
      <c r="H74" s="5">
        <v>209.570826</v>
      </c>
      <c r="J74" s="4">
        <v>0</v>
      </c>
      <c r="K74" s="7">
        <v>1.7449</v>
      </c>
      <c r="L74" s="3">
        <v>3.4</v>
      </c>
      <c r="M74" s="3">
        <v>0.87</v>
      </c>
    </row>
    <row r="75" spans="1:13">
      <c r="A75" s="8" t="s">
        <v>86</v>
      </c>
      <c r="B75" s="2">
        <f>HYPERLINK("https://www.suredividend.com/sure-analysis-ALEX/","Alexander &amp; Baldwin, Inc.")</f>
        <v>0</v>
      </c>
      <c r="C75" s="1" t="s">
        <v>1961</v>
      </c>
      <c r="D75" s="3">
        <v>20.8</v>
      </c>
      <c r="E75" s="4">
        <v>0.0673076923076923</v>
      </c>
      <c r="F75" s="4">
        <v>0.04153</v>
      </c>
      <c r="G75" s="3">
        <v>1.02</v>
      </c>
      <c r="H75" s="5">
        <v>1514.103553</v>
      </c>
      <c r="I75" s="6">
        <v>20.6396</v>
      </c>
      <c r="J75" s="4">
        <v>0.892884</v>
      </c>
      <c r="K75" s="7">
        <v>0.5358000000000001</v>
      </c>
      <c r="L75" s="3">
        <v>20.86</v>
      </c>
      <c r="M75" s="3">
        <v>14.82</v>
      </c>
    </row>
    <row r="76" spans="1:13">
      <c r="A76" s="8" t="s">
        <v>87</v>
      </c>
      <c r="B76" s="2">
        <f>HYPERLINK("https://www.suredividend.com/sure-analysis-ALG/","ALAMO GROUP INC")</f>
        <v>0</v>
      </c>
      <c r="C76" s="1" t="s">
        <v>1964</v>
      </c>
      <c r="D76" s="3">
        <v>193.45</v>
      </c>
      <c r="E76" s="4">
        <v>0.007030240372189197</v>
      </c>
      <c r="F76" s="4">
        <v>0.00483</v>
      </c>
      <c r="G76" s="3">
        <v>1.24</v>
      </c>
      <c r="H76" s="5">
        <v>2325.556405</v>
      </c>
      <c r="I76" s="6">
        <v>19.9842</v>
      </c>
      <c r="J76" s="4">
        <v>0.119601</v>
      </c>
      <c r="K76" s="7">
        <v>0.8693</v>
      </c>
      <c r="L76" s="3">
        <v>232.5</v>
      </c>
      <c r="M76" s="3">
        <v>156.02</v>
      </c>
    </row>
    <row r="77" spans="1:13">
      <c r="A77" s="8" t="s">
        <v>88</v>
      </c>
      <c r="B77" s="2">
        <f>HYPERLINK("https://www.suredividend.com/sure-analysis-research-database/","Allegiant Travel CO")</f>
        <v>0</v>
      </c>
      <c r="C77" s="1" t="s">
        <v>1964</v>
      </c>
      <c r="D77" s="3">
        <v>90.56999999999999</v>
      </c>
      <c r="F77" s="4">
        <v>0.00516</v>
      </c>
      <c r="G77" s="3">
        <v>2.4</v>
      </c>
      <c r="H77" s="5">
        <v>1659.39294</v>
      </c>
      <c r="J77" s="4">
        <v>3E-06</v>
      </c>
      <c r="K77" s="7">
        <v>1.4212</v>
      </c>
      <c r="L77" s="3">
        <v>107.57</v>
      </c>
      <c r="M77" s="3">
        <v>39.8</v>
      </c>
    </row>
    <row r="78" spans="1:13">
      <c r="A78" s="8" t="s">
        <v>89</v>
      </c>
      <c r="B78" s="2">
        <f>HYPERLINK("https://www.suredividend.com/sure-analysis-research-database/","Alignment Healthcare, Inc.")</f>
        <v>0</v>
      </c>
      <c r="C78" s="1" t="s">
        <v>1959</v>
      </c>
      <c r="D78" s="3">
        <v>23.29</v>
      </c>
      <c r="F78" s="4">
        <v>0</v>
      </c>
      <c r="G78" s="3">
        <v>0</v>
      </c>
      <c r="H78" s="5">
        <v>4662.137589</v>
      </c>
      <c r="J78" s="4">
        <v>0</v>
      </c>
      <c r="K78" s="7">
        <v>0.2947</v>
      </c>
      <c r="L78" s="3">
        <v>23.19</v>
      </c>
      <c r="M78" s="3">
        <v>11.63</v>
      </c>
    </row>
    <row r="79" spans="1:13">
      <c r="A79" s="8" t="s">
        <v>90</v>
      </c>
      <c r="B79" s="2">
        <f>HYPERLINK("https://www.suredividend.com/sure-analysis-research-database/","Alight, Inc. / Delaware")</f>
        <v>0</v>
      </c>
      <c r="C79" s="1" t="s">
        <v>1959</v>
      </c>
      <c r="D79" s="3">
        <v>1.58</v>
      </c>
      <c r="E79" s="4">
        <v>0.1</v>
      </c>
      <c r="F79" s="4">
        <v>0.02286</v>
      </c>
      <c r="G79" s="3">
        <v>0.16</v>
      </c>
      <c r="H79" s="5">
        <v>831.791279</v>
      </c>
      <c r="K79" s="7">
        <v>1.3858</v>
      </c>
      <c r="L79" s="3">
        <v>7.35</v>
      </c>
      <c r="M79" s="3">
        <v>1.52</v>
      </c>
    </row>
    <row r="80" spans="1:13">
      <c r="A80" s="8" t="s">
        <v>91</v>
      </c>
      <c r="B80" s="2">
        <f>HYPERLINK("https://www.suredividend.com/sure-analysis-research-database/","Alkermes plc.")</f>
        <v>0</v>
      </c>
      <c r="C80" s="1" t="s">
        <v>1965</v>
      </c>
      <c r="D80" s="3">
        <v>33.75</v>
      </c>
      <c r="F80" s="4">
        <v>0</v>
      </c>
      <c r="G80" s="3">
        <v>0</v>
      </c>
      <c r="H80" s="5">
        <v>5589.22768</v>
      </c>
      <c r="I80" s="6">
        <v>16.5684</v>
      </c>
      <c r="J80" s="4">
        <v>0</v>
      </c>
      <c r="K80" s="7">
        <v>0.7272</v>
      </c>
      <c r="L80" s="3">
        <v>36.45</v>
      </c>
      <c r="M80" s="3">
        <v>25.17</v>
      </c>
    </row>
    <row r="81" spans="1:13">
      <c r="A81" s="8" t="s">
        <v>92</v>
      </c>
      <c r="B81" s="2">
        <f>HYPERLINK("https://www.suredividend.com/sure-analysis-research-database/","ALKAMI TECHNOLOGY, INC.")</f>
        <v>0</v>
      </c>
      <c r="C81" s="1" t="s">
        <v>1959</v>
      </c>
      <c r="D81" s="3">
        <v>19.86</v>
      </c>
      <c r="F81" s="4">
        <v>0</v>
      </c>
      <c r="G81" s="3">
        <v>0</v>
      </c>
      <c r="H81" s="5">
        <v>2060.178696</v>
      </c>
      <c r="J81" s="4">
        <v>0</v>
      </c>
      <c r="K81" s="7">
        <v>1.237</v>
      </c>
      <c r="L81" s="3">
        <v>36.96</v>
      </c>
      <c r="M81" s="3">
        <v>18.71</v>
      </c>
    </row>
    <row r="82" spans="1:13">
      <c r="A82" s="8" t="s">
        <v>93</v>
      </c>
      <c r="B82" s="2">
        <f>HYPERLINK("https://www.suredividend.com/sure-analysis-research-database/","Allogene Therapeutics, Inc.")</f>
        <v>0</v>
      </c>
      <c r="C82" s="1" t="s">
        <v>1965</v>
      </c>
      <c r="D82" s="3">
        <v>1.6</v>
      </c>
      <c r="F82" s="4">
        <v>0</v>
      </c>
      <c r="G82" s="3">
        <v>0</v>
      </c>
      <c r="H82" s="5">
        <v>359.56823</v>
      </c>
      <c r="J82" s="4">
        <v>0</v>
      </c>
      <c r="K82" s="7">
        <v>1.978</v>
      </c>
      <c r="L82" s="3">
        <v>3.78</v>
      </c>
      <c r="M82" s="3">
        <v>0.86</v>
      </c>
    </row>
    <row r="83" spans="1:13">
      <c r="A83" s="8" t="s">
        <v>94</v>
      </c>
      <c r="B83" s="2">
        <f>HYPERLINK("https://www.suredividend.com/sure-analysis-research-database/","ALUMIS INC.")</f>
        <v>0</v>
      </c>
      <c r="C83" s="1" t="s">
        <v>1959</v>
      </c>
      <c r="D83" s="3">
        <v>27.25</v>
      </c>
      <c r="F83" s="4">
        <v>0</v>
      </c>
      <c r="G83" s="3">
        <v>0</v>
      </c>
      <c r="H83" s="5">
        <v>2785.215992</v>
      </c>
      <c r="J83" s="4">
        <v>0</v>
      </c>
      <c r="K83" s="7">
        <v>-2.5478</v>
      </c>
      <c r="L83" s="3">
        <v>27.2</v>
      </c>
      <c r="M83" s="3">
        <v>2.76</v>
      </c>
    </row>
    <row r="84" spans="1:13">
      <c r="A84" s="8" t="s">
        <v>95</v>
      </c>
      <c r="B84" s="2">
        <f>HYPERLINK("https://www.suredividend.com/sure-analysis-research-database/","ALLIENT INC")</f>
        <v>0</v>
      </c>
      <c r="C84" s="1" t="s">
        <v>1959</v>
      </c>
      <c r="D84" s="3">
        <v>62.76</v>
      </c>
      <c r="F84" s="4">
        <v>0.00193</v>
      </c>
      <c r="G84" s="3">
        <v>0.12</v>
      </c>
      <c r="H84" s="5">
        <v>1065.068221</v>
      </c>
      <c r="I84" s="6">
        <v>57.0654</v>
      </c>
      <c r="J84" s="4">
        <v>0.105926</v>
      </c>
      <c r="K84" s="7">
        <v>1.4903</v>
      </c>
      <c r="L84" s="3">
        <v>62.88</v>
      </c>
      <c r="M84" s="3">
        <v>19.21</v>
      </c>
    </row>
    <row r="85" spans="1:13">
      <c r="A85" s="8" t="s">
        <v>96</v>
      </c>
      <c r="B85" s="2">
        <f>HYPERLINK("https://www.suredividend.com/sure-analysis-research-database/","Alarm.com Holdings, Inc.")</f>
        <v>0</v>
      </c>
      <c r="C85" s="1" t="s">
        <v>1960</v>
      </c>
      <c r="D85" s="3">
        <v>49.26</v>
      </c>
      <c r="F85" s="4">
        <v>0</v>
      </c>
      <c r="G85" s="3">
        <v>0</v>
      </c>
      <c r="H85" s="5">
        <v>2457.571834</v>
      </c>
      <c r="I85" s="6">
        <v>19.1746</v>
      </c>
      <c r="J85" s="4">
        <v>0</v>
      </c>
      <c r="L85" s="3">
        <v>64.26000000000001</v>
      </c>
      <c r="M85" s="3">
        <v>46.65</v>
      </c>
    </row>
    <row r="86" spans="1:13">
      <c r="A86" s="8" t="s">
        <v>97</v>
      </c>
      <c r="B86" s="2">
        <f>HYPERLINK("https://www.suredividend.com/sure-analysis-ALRS/","ALERUS FINANCIAL CORP")</f>
        <v>0</v>
      </c>
      <c r="C86" s="1" t="s">
        <v>1962</v>
      </c>
      <c r="D86" s="3">
        <v>24.49</v>
      </c>
      <c r="E86" s="4">
        <v>0.03429971416904859</v>
      </c>
      <c r="F86" s="4">
        <v>0.03166</v>
      </c>
      <c r="G86" s="3">
        <v>0</v>
      </c>
      <c r="H86" s="5">
        <v>622.233924</v>
      </c>
      <c r="I86" s="6">
        <v>12.3398</v>
      </c>
      <c r="J86" s="4">
        <v>0.390878</v>
      </c>
    </row>
    <row r="87" spans="1:13">
      <c r="A87" s="8" t="s">
        <v>98</v>
      </c>
      <c r="B87" s="2">
        <f>HYPERLINK("https://www.suredividend.com/sure-analysis-research-database/","Altimmune, Inc.")</f>
        <v>0</v>
      </c>
      <c r="C87" s="1" t="s">
        <v>1965</v>
      </c>
      <c r="D87" s="3">
        <v>4.57</v>
      </c>
      <c r="G87" s="3">
        <v>0</v>
      </c>
      <c r="H87" s="5">
        <v>481.654279</v>
      </c>
      <c r="J87" s="4">
        <v>0</v>
      </c>
    </row>
    <row r="88" spans="1:13">
      <c r="A88" s="8" t="s">
        <v>99</v>
      </c>
      <c r="B88" s="2">
        <f>HYPERLINK("https://www.suredividend.com/sure-analysis-research-database/","ALTA EQUIPMENT GROUP INC.")</f>
        <v>0</v>
      </c>
      <c r="C88" s="1" t="s">
        <v>1964</v>
      </c>
      <c r="D88" s="3">
        <v>6.23</v>
      </c>
      <c r="E88" s="4">
        <v>0.04</v>
      </c>
      <c r="F88" s="4">
        <v>0.02469</v>
      </c>
      <c r="G88" s="3">
        <v>0</v>
      </c>
      <c r="H88" s="5">
        <v>201.148166</v>
      </c>
    </row>
    <row r="89" spans="1:13">
      <c r="A89" s="8" t="s">
        <v>100</v>
      </c>
      <c r="B89" s="2">
        <f>HYPERLINK("https://www.suredividend.com/sure-analysis-research-database/","AlTi Global, Inc.")</f>
        <v>0</v>
      </c>
      <c r="C89" s="1" t="s">
        <v>1959</v>
      </c>
      <c r="D89" s="3">
        <v>4.14</v>
      </c>
      <c r="G89" s="3">
        <v>0</v>
      </c>
      <c r="H89" s="5">
        <v>608.611498</v>
      </c>
      <c r="J89" s="4">
        <v>0</v>
      </c>
    </row>
    <row r="90" spans="1:13">
      <c r="A90" s="8" t="s">
        <v>101</v>
      </c>
      <c r="B90" s="2">
        <f>HYPERLINK("https://www.suredividend.com/sure-analysis-research-database/","ALEXANDERS INC")</f>
        <v>0</v>
      </c>
      <c r="C90" s="1" t="s">
        <v>1961</v>
      </c>
      <c r="D90" s="3">
        <v>246.28</v>
      </c>
      <c r="E90" s="4">
        <v>0.07000000000000001</v>
      </c>
      <c r="F90" s="4">
        <v>0.08076999999999999</v>
      </c>
      <c r="G90" s="3">
        <v>0</v>
      </c>
      <c r="H90" s="5">
        <v>1257.568017</v>
      </c>
      <c r="I90" s="6">
        <v>34.2876</v>
      </c>
      <c r="J90" s="4">
        <v>2.519699</v>
      </c>
      <c r="L90" s="3">
        <v>250.61</v>
      </c>
      <c r="M90" s="3">
        <v>170.87</v>
      </c>
    </row>
    <row r="91" spans="1:13">
      <c r="A91" s="8" t="s">
        <v>102</v>
      </c>
      <c r="B91" s="2">
        <f>HYPERLINK("https://www.suredividend.com/sure-analysis-research-database/","ALX ONCOLOGY HOLDINGS INC")</f>
        <v>0</v>
      </c>
      <c r="C91" s="1" t="s">
        <v>1959</v>
      </c>
      <c r="D91" s="3">
        <v>1.48</v>
      </c>
      <c r="G91" s="3">
        <v>0</v>
      </c>
      <c r="H91" s="5">
        <v>79.700461</v>
      </c>
      <c r="I91" s="6">
        <v>2.9695</v>
      </c>
      <c r="J91" s="4">
        <v>0</v>
      </c>
      <c r="L91" s="3">
        <v>2.27</v>
      </c>
      <c r="M91" s="3">
        <v>0.4</v>
      </c>
    </row>
    <row r="92" spans="1:13">
      <c r="A92" s="8" t="s">
        <v>103</v>
      </c>
      <c r="B92" s="2">
        <f>HYPERLINK("https://www.suredividend.com/sure-analysis-research-database/","Amalgamated Financial Corp.")</f>
        <v>0</v>
      </c>
      <c r="C92" s="1" t="s">
        <v>1962</v>
      </c>
      <c r="D92" s="3">
        <v>36</v>
      </c>
      <c r="E92" s="4">
        <v>0.02</v>
      </c>
      <c r="F92" s="4">
        <v>0.01252</v>
      </c>
      <c r="G92" s="3">
        <v>0</v>
      </c>
      <c r="H92" s="5">
        <v>1105.123077</v>
      </c>
      <c r="I92" s="6">
        <v>10.8031</v>
      </c>
      <c r="J92" s="4">
        <v>0.163221</v>
      </c>
      <c r="L92" s="3">
        <v>36.72</v>
      </c>
      <c r="M92" s="3">
        <v>24.66</v>
      </c>
    </row>
    <row r="93" spans="1:13">
      <c r="A93" s="8" t="s">
        <v>104</v>
      </c>
      <c r="B93" s="2">
        <f>HYPERLINK("https://www.suredividend.com/sure-analysis-research-database/","AMBARELLA INC")</f>
        <v>0</v>
      </c>
      <c r="C93" s="1" t="s">
        <v>1960</v>
      </c>
      <c r="D93" s="3">
        <v>69.69</v>
      </c>
      <c r="G93" s="3">
        <v>0</v>
      </c>
      <c r="H93" s="5">
        <v>2951.971825</v>
      </c>
      <c r="J93" s="4">
        <v>0</v>
      </c>
    </row>
    <row r="94" spans="1:13">
      <c r="A94" s="8" t="s">
        <v>105</v>
      </c>
      <c r="B94" s="2">
        <f>HYPERLINK("https://www.suredividend.com/sure-analysis-research-database/","Ambac Financial Group Inc.")</f>
        <v>0</v>
      </c>
      <c r="C94" s="1" t="s">
        <v>1962</v>
      </c>
      <c r="D94" s="3">
        <v>6.31</v>
      </c>
      <c r="F94" s="4">
        <v>0</v>
      </c>
      <c r="G94" s="3">
        <v>0</v>
      </c>
      <c r="K94" s="7">
        <v>0.6538</v>
      </c>
    </row>
    <row r="95" spans="1:13">
      <c r="A95" s="8" t="s">
        <v>106</v>
      </c>
      <c r="B95" s="2">
        <f>HYPERLINK("https://www.suredividend.com/sure-analysis-research-database/","Ardagh Metal Packaging S.A.")</f>
        <v>0</v>
      </c>
      <c r="C95" s="1" t="s">
        <v>1959</v>
      </c>
      <c r="D95" s="3">
        <v>4.29</v>
      </c>
      <c r="E95" s="4">
        <v>0.12</v>
      </c>
      <c r="F95" s="4">
        <v>0.07356</v>
      </c>
      <c r="G95" s="3">
        <v>0.5</v>
      </c>
      <c r="H95" s="5">
        <v>2564.131224</v>
      </c>
      <c r="K95" s="7">
        <v>0.8938</v>
      </c>
      <c r="L95" s="3">
        <v>4.53</v>
      </c>
      <c r="M95" s="3">
        <v>2.22</v>
      </c>
    </row>
    <row r="96" spans="1:13">
      <c r="A96" s="8" t="s">
        <v>107</v>
      </c>
      <c r="B96" s="2">
        <f>HYPERLINK("https://www.suredividend.com/sure-analysis-research-database/","AMC ENTERTAINMENT HOLDINGS, INC.")</f>
        <v>0</v>
      </c>
      <c r="C96" s="1" t="s">
        <v>1968</v>
      </c>
      <c r="D96" s="3">
        <v>1.63</v>
      </c>
      <c r="F96" s="4">
        <v>0</v>
      </c>
      <c r="G96" s="3">
        <v>3.41</v>
      </c>
      <c r="H96" s="5">
        <v>825.8391329999999</v>
      </c>
      <c r="J96" s="4">
        <v>0</v>
      </c>
      <c r="K96" s="7">
        <v>1.1158</v>
      </c>
      <c r="L96" s="3">
        <v>4.08</v>
      </c>
      <c r="M96" s="3">
        <v>1.44</v>
      </c>
    </row>
    <row r="97" spans="1:13">
      <c r="A97" s="8" t="s">
        <v>108</v>
      </c>
      <c r="B97" s="2">
        <f>HYPERLINK("https://www.suredividend.com/sure-analysis-research-database/","AMC Networks Inc.")</f>
        <v>0</v>
      </c>
      <c r="C97" s="1" t="s">
        <v>1968</v>
      </c>
      <c r="D97" s="3">
        <v>7.76</v>
      </c>
      <c r="F97" s="4">
        <v>0</v>
      </c>
      <c r="G97" s="3">
        <v>0</v>
      </c>
      <c r="H97" s="5">
        <v>338.202995</v>
      </c>
      <c r="K97" s="7">
        <v>1.2221</v>
      </c>
      <c r="L97" s="3">
        <v>10.6</v>
      </c>
      <c r="M97" s="3">
        <v>5.41</v>
      </c>
    </row>
    <row r="98" spans="1:13">
      <c r="A98" s="8" t="s">
        <v>109</v>
      </c>
      <c r="B98" s="2">
        <f>HYPERLINK("https://www.suredividend.com/sure-analysis-research-database/","AMN HEALTHCARE SERVICES INC")</f>
        <v>0</v>
      </c>
      <c r="C98" s="1" t="s">
        <v>1965</v>
      </c>
      <c r="D98" s="3">
        <v>19.29</v>
      </c>
      <c r="F98" s="4">
        <v>0</v>
      </c>
      <c r="G98" s="3">
        <v>0</v>
      </c>
      <c r="H98" s="5">
        <v>741.385954</v>
      </c>
      <c r="J98" s="4">
        <v>0</v>
      </c>
      <c r="K98" s="7">
        <v>0.5315</v>
      </c>
      <c r="L98" s="3">
        <v>30.49</v>
      </c>
      <c r="M98" s="3">
        <v>14.87</v>
      </c>
    </row>
    <row r="99" spans="1:13">
      <c r="A99" s="8" t="s">
        <v>110</v>
      </c>
      <c r="B99" s="2">
        <f>HYPERLINK("https://www.suredividend.com/sure-analysis-research-database/","Amphastar Pharmaceuticals, Inc.")</f>
        <v>0</v>
      </c>
      <c r="C99" s="1" t="s">
        <v>1965</v>
      </c>
      <c r="D99" s="3">
        <v>26.215</v>
      </c>
      <c r="F99" s="4">
        <v>0</v>
      </c>
      <c r="G99" s="3">
        <v>0</v>
      </c>
      <c r="H99" s="5">
        <v>1204.866002</v>
      </c>
      <c r="I99" s="6">
        <v>10.7935</v>
      </c>
      <c r="J99" s="4">
        <v>0</v>
      </c>
      <c r="K99" s="7">
        <v>0.778</v>
      </c>
      <c r="L99" s="3">
        <v>37.66</v>
      </c>
      <c r="M99" s="3">
        <v>20.39</v>
      </c>
    </row>
    <row r="100" spans="1:13">
      <c r="A100" s="8" t="s">
        <v>111</v>
      </c>
      <c r="B100" s="2">
        <f>HYPERLINK("https://www.suredividend.com/sure-analysis-research-database/","Amplitude, Inc.")</f>
        <v>0</v>
      </c>
      <c r="C100" s="1" t="s">
        <v>1959</v>
      </c>
      <c r="D100" s="3">
        <v>9.9</v>
      </c>
      <c r="F100" s="4">
        <v>0</v>
      </c>
      <c r="G100" s="3">
        <v>0</v>
      </c>
      <c r="H100" s="5">
        <v>1311.461367</v>
      </c>
      <c r="J100" s="4">
        <v>0</v>
      </c>
      <c r="K100" s="7">
        <v>1.3789</v>
      </c>
      <c r="L100" s="3">
        <v>14.88</v>
      </c>
      <c r="M100" s="3">
        <v>7.55</v>
      </c>
    </row>
    <row r="101" spans="1:13">
      <c r="A101" s="8" t="s">
        <v>112</v>
      </c>
      <c r="B101" s="2">
        <f>HYPERLINK("https://www.suredividend.com/sure-analysis-research-database/","Altus Power, Inc.")</f>
        <v>0</v>
      </c>
      <c r="C101" s="1" t="s">
        <v>1959</v>
      </c>
      <c r="D101" s="3">
        <v>1472.5</v>
      </c>
      <c r="F101" s="4">
        <v>0</v>
      </c>
      <c r="G101" s="3">
        <v>0</v>
      </c>
      <c r="H101" s="5">
        <v>800.500261</v>
      </c>
      <c r="I101" s="6">
        <v>605.0644</v>
      </c>
      <c r="K101" s="7">
        <v>0.5571</v>
      </c>
    </row>
    <row r="102" spans="1:13">
      <c r="A102" s="8" t="s">
        <v>113</v>
      </c>
      <c r="B102" s="2">
        <f>HYPERLINK("https://www.suredividend.com/sure-analysis-research-database/","Amprius Technologies, Inc.")</f>
        <v>0</v>
      </c>
      <c r="C102" s="1" t="s">
        <v>1959</v>
      </c>
      <c r="D102" s="3">
        <v>11.58</v>
      </c>
      <c r="F102" s="4">
        <v>0</v>
      </c>
      <c r="G102" s="3">
        <v>0</v>
      </c>
      <c r="H102" s="5">
        <v>1470.552854</v>
      </c>
      <c r="J102" s="4">
        <v>0</v>
      </c>
      <c r="K102" s="7">
        <v>2.2676</v>
      </c>
      <c r="L102" s="3">
        <v>16.03</v>
      </c>
      <c r="M102" s="3">
        <v>1.7</v>
      </c>
    </row>
    <row r="103" spans="1:13">
      <c r="A103" s="8" t="s">
        <v>114</v>
      </c>
      <c r="B103" s="2">
        <f>HYPERLINK("https://www.suredividend.com/sure-analysis-research-database/","Amplify Energy Corp.")</f>
        <v>0</v>
      </c>
      <c r="C103" s="1" t="s">
        <v>1969</v>
      </c>
      <c r="D103" s="3">
        <v>4.76</v>
      </c>
      <c r="F103" s="4">
        <v>0</v>
      </c>
      <c r="G103" s="3">
        <v>0.5</v>
      </c>
      <c r="H103" s="5">
        <v>193.070506</v>
      </c>
      <c r="J103" s="4">
        <v>0</v>
      </c>
      <c r="K103" s="7">
        <v>0.6598000000000001</v>
      </c>
      <c r="L103" s="3">
        <v>6.55</v>
      </c>
      <c r="M103" s="3">
        <v>2.27</v>
      </c>
    </row>
    <row r="104" spans="1:13">
      <c r="A104" s="8" t="s">
        <v>115</v>
      </c>
      <c r="B104" s="2">
        <f>HYPERLINK("https://www.suredividend.com/sure-analysis-research-database/","Alpha Metallurgical Resources, Inc.")</f>
        <v>0</v>
      </c>
      <c r="C104" s="1" t="s">
        <v>1959</v>
      </c>
      <c r="D104" s="3">
        <v>234.89</v>
      </c>
      <c r="F104" s="4">
        <v>0.00258</v>
      </c>
      <c r="G104" s="3">
        <v>2.36</v>
      </c>
      <c r="H104" s="5">
        <v>3020.221257</v>
      </c>
      <c r="L104" s="3">
        <v>253.82</v>
      </c>
      <c r="M104" s="3">
        <v>97.41</v>
      </c>
    </row>
    <row r="105" spans="1:13">
      <c r="A105" s="8" t="s">
        <v>116</v>
      </c>
      <c r="B105" s="2">
        <f>HYPERLINK("https://www.suredividend.com/sure-analysis-research-database/","Ameresco, Inc.")</f>
        <v>0</v>
      </c>
      <c r="C105" s="1" t="s">
        <v>1964</v>
      </c>
      <c r="D105" s="3">
        <v>31.9</v>
      </c>
      <c r="G105" s="3">
        <v>0</v>
      </c>
      <c r="H105" s="5">
        <v>1684.238846</v>
      </c>
      <c r="I105" s="6">
        <v>26.7348</v>
      </c>
      <c r="J105" s="4">
        <v>0.07677100000000001</v>
      </c>
      <c r="L105" s="3">
        <v>44.93</v>
      </c>
      <c r="M105" s="3">
        <v>8.49</v>
      </c>
    </row>
    <row r="106" spans="1:13">
      <c r="A106" s="8" t="s">
        <v>117</v>
      </c>
      <c r="B106" s="2">
        <f>HYPERLINK("https://www.suredividend.com/sure-analysis-research-database/","A-Mark Precious Metals Inc.")</f>
        <v>0</v>
      </c>
      <c r="C106" s="1" t="s">
        <v>1962</v>
      </c>
      <c r="D106" s="3">
        <v>42.44</v>
      </c>
      <c r="E106" s="4">
        <v>0.02</v>
      </c>
      <c r="F106" s="4">
        <v>0.02872</v>
      </c>
      <c r="G106" s="3">
        <v>0</v>
      </c>
      <c r="H106" s="5">
        <v>1051.575951</v>
      </c>
      <c r="I106" s="6">
        <v>142.1625</v>
      </c>
      <c r="J106" s="4">
        <v>2.967467</v>
      </c>
    </row>
    <row r="107" spans="1:13">
      <c r="A107" s="8" t="s">
        <v>118</v>
      </c>
      <c r="B107" s="2">
        <f>HYPERLINK("https://www.suredividend.com/sure-analysis-research-database/","Amneal Pharmaceuticals, Inc.")</f>
        <v>0</v>
      </c>
      <c r="C107" s="1" t="s">
        <v>1965</v>
      </c>
      <c r="D107" s="3">
        <v>13.71</v>
      </c>
      <c r="G107" s="3">
        <v>0</v>
      </c>
      <c r="H107" s="5">
        <v>4309.915633</v>
      </c>
      <c r="I107" s="6">
        <v>730.4942</v>
      </c>
      <c r="J107" s="4">
        <v>0</v>
      </c>
    </row>
    <row r="108" spans="1:13">
      <c r="A108" s="8" t="s">
        <v>119</v>
      </c>
      <c r="B108" s="2">
        <f>HYPERLINK("https://www.suredividend.com/sure-analysis-research-database/","AMERICAN SUPERCONDUCTOR CORP /DE/")</f>
        <v>0</v>
      </c>
      <c r="C108" s="1" t="s">
        <v>1964</v>
      </c>
      <c r="D108" s="3">
        <v>32.33</v>
      </c>
      <c r="G108" s="3">
        <v>0</v>
      </c>
      <c r="H108" s="5">
        <v>1437.391758</v>
      </c>
      <c r="I108" s="6">
        <v>94.06399999999999</v>
      </c>
    </row>
    <row r="109" spans="1:13">
      <c r="A109" s="8" t="s">
        <v>120</v>
      </c>
      <c r="B109" s="2">
        <f>HYPERLINK("https://www.suredividend.com/sure-analysis-AMSF/","AMERISAFE INC")</f>
        <v>0</v>
      </c>
      <c r="C109" s="1" t="s">
        <v>1962</v>
      </c>
      <c r="D109" s="3">
        <v>37.935</v>
      </c>
      <c r="E109" s="4">
        <v>0.04112297350731514</v>
      </c>
      <c r="F109" s="4">
        <v>0.07845000000000001</v>
      </c>
      <c r="G109" s="3">
        <v>0</v>
      </c>
      <c r="H109" s="5">
        <v>717.991698</v>
      </c>
      <c r="I109" s="6">
        <v>14.384</v>
      </c>
      <c r="J109" s="4">
        <v>1.734514</v>
      </c>
      <c r="L109" s="3">
        <v>50.51</v>
      </c>
      <c r="M109" s="3">
        <v>36.34</v>
      </c>
    </row>
    <row r="110" spans="1:13">
      <c r="A110" s="8" t="s">
        <v>121</v>
      </c>
      <c r="B110" s="2">
        <f>HYPERLINK("https://www.suredividend.com/sure-analysis-research-database/","Amerant Bancorp Inc.")</f>
        <v>0</v>
      </c>
      <c r="C110" s="1" t="s">
        <v>1962</v>
      </c>
      <c r="D110" s="3">
        <v>21.56</v>
      </c>
      <c r="E110" s="4">
        <v>0.02</v>
      </c>
      <c r="F110" s="4">
        <v>0.01444</v>
      </c>
      <c r="G110" s="3">
        <v>0</v>
      </c>
      <c r="H110" s="5">
        <v>891.337025</v>
      </c>
      <c r="I110" s="6">
        <v>13.384</v>
      </c>
      <c r="J110" s="4">
        <v>0.228028</v>
      </c>
      <c r="L110" s="3">
        <v>23.96</v>
      </c>
      <c r="M110" s="3">
        <v>15.54</v>
      </c>
    </row>
    <row r="111" spans="1:13">
      <c r="A111" s="8" t="s">
        <v>122</v>
      </c>
      <c r="B111" s="2">
        <f>HYPERLINK("https://www.suredividend.com/sure-analysis-research-database/","AEMETIS, INC")</f>
        <v>0</v>
      </c>
      <c r="C111" s="1" t="s">
        <v>1969</v>
      </c>
      <c r="D111" s="3">
        <v>1.495</v>
      </c>
      <c r="G111" s="3">
        <v>0</v>
      </c>
      <c r="H111" s="5">
        <v>97.69712800000001</v>
      </c>
      <c r="J111" s="4">
        <v>0</v>
      </c>
    </row>
    <row r="112" spans="1:13">
      <c r="A112" s="8" t="s">
        <v>123</v>
      </c>
      <c r="B112" s="2">
        <f>HYPERLINK("https://www.suredividend.com/sure-analysis-research-database/","AMERICAN WOODMARK CORP")</f>
        <v>0</v>
      </c>
      <c r="C112" s="1" t="s">
        <v>1963</v>
      </c>
      <c r="D112" s="3">
        <v>63.61</v>
      </c>
      <c r="G112" s="3">
        <v>0</v>
      </c>
      <c r="H112" s="5">
        <v>927.6919</v>
      </c>
      <c r="I112" s="6">
        <v>14.7653</v>
      </c>
      <c r="J112" s="4">
        <v>0</v>
      </c>
      <c r="L112" s="3">
        <v>83.72</v>
      </c>
      <c r="M112" s="3">
        <v>47.15</v>
      </c>
    </row>
    <row r="113" spans="1:13">
      <c r="A113" s="8" t="s">
        <v>124</v>
      </c>
      <c r="B113" s="2">
        <f>HYPERLINK("https://www.suredividend.com/sure-analysis-research-database/","ANAPTYSBIO, INC")</f>
        <v>0</v>
      </c>
      <c r="C113" s="1" t="s">
        <v>1965</v>
      </c>
      <c r="D113" s="3">
        <v>46.65</v>
      </c>
      <c r="F113" s="4">
        <v>0</v>
      </c>
      <c r="G113" s="3">
        <v>0</v>
      </c>
      <c r="H113" s="5">
        <v>1292.49778</v>
      </c>
      <c r="J113" s="4">
        <v>0</v>
      </c>
      <c r="K113" s="7">
        <v>0.8222</v>
      </c>
      <c r="L113" s="3">
        <v>52.47</v>
      </c>
      <c r="M113" s="3">
        <v>12.21</v>
      </c>
    </row>
    <row r="114" spans="1:13">
      <c r="A114" s="8" t="s">
        <v>125</v>
      </c>
      <c r="B114" s="2">
        <f>HYPERLINK("https://www.suredividend.com/sure-analysis-ANDE/","Andersons, Inc.")</f>
        <v>0</v>
      </c>
      <c r="C114" s="1" t="s">
        <v>1966</v>
      </c>
      <c r="D114" s="3">
        <v>61.61</v>
      </c>
      <c r="E114" s="4">
        <v>0.01298490504788184</v>
      </c>
      <c r="F114" s="4">
        <v>0.01427</v>
      </c>
      <c r="G114" s="3">
        <v>0.79</v>
      </c>
      <c r="H114" s="5">
        <v>2085.50515</v>
      </c>
      <c r="I114" s="6">
        <v>63.6232</v>
      </c>
      <c r="J114" s="4">
        <v>0.736251</v>
      </c>
      <c r="K114" s="7">
        <v>0.6182</v>
      </c>
      <c r="L114" s="3">
        <v>62.07</v>
      </c>
      <c r="M114" s="3">
        <v>30.6</v>
      </c>
    </row>
    <row r="115" spans="1:13">
      <c r="A115" s="8" t="s">
        <v>126</v>
      </c>
      <c r="B115" s="2">
        <f>HYPERLINK("https://www.suredividend.com/sure-analysis-research-database/","ABERCROMBIE &amp; FITCH CO /DE/")</f>
        <v>0</v>
      </c>
      <c r="C115" s="1" t="s">
        <v>1963</v>
      </c>
      <c r="D115" s="3">
        <v>99.34999999999999</v>
      </c>
      <c r="F115" s="4">
        <v>0</v>
      </c>
      <c r="G115" s="3">
        <v>0.8</v>
      </c>
      <c r="H115" s="5">
        <v>4540.35662</v>
      </c>
      <c r="I115" s="6">
        <v>8.697699999999999</v>
      </c>
      <c r="J115" s="4">
        <v>0</v>
      </c>
      <c r="K115" s="7">
        <v>1.4739</v>
      </c>
      <c r="L115" s="3">
        <v>134.16</v>
      </c>
      <c r="M115" s="3">
        <v>65.40000000000001</v>
      </c>
    </row>
    <row r="116" spans="1:13">
      <c r="A116" s="8" t="s">
        <v>127</v>
      </c>
      <c r="B116" s="2">
        <f>HYPERLINK("https://www.suredividend.com/sure-analysis-research-database/","ANGIODYNAMICS INC")</f>
        <v>0</v>
      </c>
      <c r="C116" s="1" t="s">
        <v>1965</v>
      </c>
      <c r="D116" s="3">
        <v>10.565</v>
      </c>
      <c r="F116" s="4">
        <v>0</v>
      </c>
      <c r="G116" s="3">
        <v>0</v>
      </c>
      <c r="H116" s="5">
        <v>435.66777</v>
      </c>
      <c r="J116" s="4">
        <v>0</v>
      </c>
      <c r="K116" s="7">
        <v>0.3435</v>
      </c>
      <c r="L116" s="3">
        <v>13.99</v>
      </c>
      <c r="M116" s="3">
        <v>8.27</v>
      </c>
    </row>
    <row r="117" spans="1:13">
      <c r="A117" s="8" t="s">
        <v>128</v>
      </c>
      <c r="B117" s="2">
        <f>HYPERLINK("https://www.suredividend.com/sure-analysis-research-database/","Anika Therapeutics, Inc.")</f>
        <v>0</v>
      </c>
      <c r="C117" s="1" t="s">
        <v>1965</v>
      </c>
      <c r="D117" s="3">
        <v>9.44</v>
      </c>
      <c r="F117" s="4">
        <v>0</v>
      </c>
      <c r="G117" s="3">
        <v>0</v>
      </c>
      <c r="H117" s="5">
        <v>137.290005</v>
      </c>
      <c r="J117" s="4">
        <v>0</v>
      </c>
      <c r="K117" s="7">
        <v>1.0154</v>
      </c>
      <c r="L117" s="3">
        <v>18.37</v>
      </c>
      <c r="M117" s="3">
        <v>7.87</v>
      </c>
    </row>
    <row r="118" spans="1:13">
      <c r="A118" s="8" t="s">
        <v>129</v>
      </c>
      <c r="B118" s="2">
        <f>HYPERLINK("https://www.suredividend.com/sure-analysis-research-database/","ANI PHARMACEUTICALS INC")</f>
        <v>0</v>
      </c>
      <c r="C118" s="1" t="s">
        <v>1965</v>
      </c>
      <c r="D118" s="3">
        <v>85.54000000000001</v>
      </c>
      <c r="F118" s="4">
        <v>0</v>
      </c>
      <c r="G118" s="3">
        <v>0</v>
      </c>
      <c r="H118" s="5">
        <v>1921.551617</v>
      </c>
      <c r="I118" s="6">
        <v>49.2604</v>
      </c>
      <c r="J118" s="4">
        <v>0.038525</v>
      </c>
      <c r="K118" s="7">
        <v>0.6684</v>
      </c>
      <c r="L118" s="3">
        <v>99.5</v>
      </c>
      <c r="M118" s="3">
        <v>54.1</v>
      </c>
    </row>
    <row r="119" spans="1:13">
      <c r="A119" s="8" t="s">
        <v>130</v>
      </c>
      <c r="B119" s="2">
        <f>HYPERLINK("https://www.suredividend.com/sure-analysis-research-database/","Annexon, Inc.")</f>
        <v>0</v>
      </c>
      <c r="C119" s="1" t="s">
        <v>1959</v>
      </c>
      <c r="D119" s="3">
        <v>6.84</v>
      </c>
      <c r="F119" s="4">
        <v>0</v>
      </c>
      <c r="G119" s="3">
        <v>0</v>
      </c>
      <c r="H119" s="5">
        <v>1083.50821</v>
      </c>
      <c r="J119" s="4">
        <v>0</v>
      </c>
      <c r="K119" s="7">
        <v>1.5905</v>
      </c>
      <c r="L119" s="3">
        <v>6.83</v>
      </c>
      <c r="M119" s="3">
        <v>1.29</v>
      </c>
    </row>
    <row r="120" spans="1:13">
      <c r="A120" s="8" t="s">
        <v>131</v>
      </c>
      <c r="B120" s="2">
        <f>HYPERLINK("https://www.suredividend.com/sure-analysis-research-database/","Alto Neuroscience, Inc.")</f>
        <v>0</v>
      </c>
      <c r="C120" s="1" t="s">
        <v>1959</v>
      </c>
      <c r="D120" s="3">
        <v>17.59</v>
      </c>
      <c r="F120" s="4">
        <v>0</v>
      </c>
      <c r="G120" s="3">
        <v>0</v>
      </c>
      <c r="H120" s="5">
        <v>546.456833</v>
      </c>
      <c r="J120" s="4">
        <v>0</v>
      </c>
      <c r="K120" s="7">
        <v>1.9137</v>
      </c>
      <c r="L120" s="3">
        <v>20.91</v>
      </c>
      <c r="M120" s="3">
        <v>1.6</v>
      </c>
    </row>
    <row r="121" spans="1:13">
      <c r="A121" s="8" t="s">
        <v>132</v>
      </c>
      <c r="B121" s="2">
        <f>HYPERLINK("https://www.suredividend.com/sure-analysis-research-database/","Angel Oak Mortgage REIT, Inc.")</f>
        <v>0</v>
      </c>
      <c r="C121" s="1" t="s">
        <v>1959</v>
      </c>
      <c r="D121" s="3">
        <v>9.17</v>
      </c>
      <c r="E121" s="4">
        <v>0.14</v>
      </c>
      <c r="F121" s="4">
        <v>0.13882</v>
      </c>
      <c r="G121" s="3">
        <v>1.28</v>
      </c>
      <c r="H121" s="5">
        <v>228.959982</v>
      </c>
      <c r="I121" s="6">
        <v>12.97</v>
      </c>
      <c r="J121" s="4">
        <v>1.727015</v>
      </c>
      <c r="K121" s="7">
        <v>0.6773</v>
      </c>
      <c r="L121" s="3">
        <v>9.779999999999999</v>
      </c>
      <c r="M121" s="3">
        <v>6.64</v>
      </c>
    </row>
    <row r="122" spans="1:13">
      <c r="A122" s="8" t="s">
        <v>133</v>
      </c>
      <c r="B122" s="2">
        <f>HYPERLINK("https://www.suredividend.com/sure-analysis-research-database/","ARTIVION, INC.")</f>
        <v>0</v>
      </c>
      <c r="C122" s="1" t="s">
        <v>1959</v>
      </c>
      <c r="D122" s="3">
        <v>44.29</v>
      </c>
      <c r="F122" s="4">
        <v>0</v>
      </c>
      <c r="G122" s="3">
        <v>0.12</v>
      </c>
      <c r="H122" s="5">
        <v>2099.183547</v>
      </c>
      <c r="J122" s="4">
        <v>0</v>
      </c>
      <c r="K122" s="7">
        <v>1.2167</v>
      </c>
      <c r="L122" s="3">
        <v>48.25</v>
      </c>
      <c r="M122" s="3">
        <v>21.97</v>
      </c>
    </row>
    <row r="123" spans="1:13">
      <c r="A123" s="8" t="s">
        <v>134</v>
      </c>
      <c r="B123" s="2">
        <f>HYPERLINK("https://www.suredividend.com/sure-analysis-research-database/","ALPHA &amp; OMEGA SEMICONDUCTOR Ltd")</f>
        <v>0</v>
      </c>
      <c r="C123" s="1" t="s">
        <v>1960</v>
      </c>
      <c r="D123" s="3">
        <v>22.99</v>
      </c>
      <c r="F123" s="4">
        <v>0</v>
      </c>
      <c r="G123" s="3">
        <v>0</v>
      </c>
      <c r="H123" s="5">
        <v>690.5115070000001</v>
      </c>
      <c r="J123" s="4">
        <v>0</v>
      </c>
      <c r="K123" s="7">
        <v>2.0695</v>
      </c>
      <c r="L123" s="3">
        <v>46.65</v>
      </c>
      <c r="M123" s="3">
        <v>15.9</v>
      </c>
    </row>
    <row r="124" spans="1:13">
      <c r="A124" s="8" t="s">
        <v>135</v>
      </c>
      <c r="B124" s="2">
        <f>HYPERLINK("https://www.suredividend.com/sure-analysis-APAM/","Artisan Partners Asset Management Inc.")</f>
        <v>0</v>
      </c>
      <c r="C124" s="1" t="s">
        <v>1962</v>
      </c>
      <c r="D124" s="3">
        <v>43.96</v>
      </c>
      <c r="E124" s="4">
        <v>0.08257506824385805</v>
      </c>
      <c r="F124" s="4">
        <v>0.06900000000000001</v>
      </c>
      <c r="G124" s="3">
        <v>3.63</v>
      </c>
      <c r="H124" s="5">
        <v>3549.868728</v>
      </c>
      <c r="I124" s="6">
        <v>13.3843</v>
      </c>
      <c r="J124" s="4">
        <v>0.727359</v>
      </c>
      <c r="L124" s="3">
        <v>46.79</v>
      </c>
      <c r="M124" s="3">
        <v>31.11</v>
      </c>
    </row>
    <row r="125" spans="1:13">
      <c r="A125" s="8" t="s">
        <v>136</v>
      </c>
      <c r="B125" s="2">
        <f>HYPERLINK("https://www.suredividend.com/sure-analysis-research-database/","AMERICAN PUBLIC EDUCATION INC")</f>
        <v>0</v>
      </c>
      <c r="C125" s="1" t="s">
        <v>1966</v>
      </c>
      <c r="D125" s="3">
        <v>42.5</v>
      </c>
      <c r="G125" s="3">
        <v>0</v>
      </c>
      <c r="H125" s="5">
        <v>770.241428</v>
      </c>
      <c r="I125" s="6">
        <v>31.8255</v>
      </c>
      <c r="J125" s="4">
        <v>0.131921</v>
      </c>
    </row>
    <row r="126" spans="1:13">
      <c r="A126" s="8" t="s">
        <v>137</v>
      </c>
      <c r="B126" s="2">
        <f>HYPERLINK("https://www.suredividend.com/sure-analysis-research-database/","Apogee Therapeutics, Inc.")</f>
        <v>0</v>
      </c>
      <c r="C126" s="1" t="s">
        <v>1959</v>
      </c>
      <c r="D126" s="3">
        <v>81.55</v>
      </c>
      <c r="G126" s="3">
        <v>0</v>
      </c>
      <c r="H126" s="5">
        <v>6700.800804</v>
      </c>
      <c r="J126" s="4">
        <v>0</v>
      </c>
      <c r="L126" s="3">
        <v>84.56</v>
      </c>
      <c r="M126" s="3">
        <v>26.2</v>
      </c>
    </row>
    <row r="127" spans="1:13">
      <c r="A127" s="8" t="s">
        <v>138</v>
      </c>
      <c r="B127" s="2">
        <f>HYPERLINK("https://www.suredividend.com/sure-analysis-research-database/","Applied Digital Corp.")</f>
        <v>0</v>
      </c>
      <c r="C127" s="1" t="s">
        <v>1964</v>
      </c>
      <c r="D127" s="3">
        <v>35.65</v>
      </c>
      <c r="G127" s="3">
        <v>0</v>
      </c>
      <c r="H127" s="5">
        <v>9726.476079</v>
      </c>
      <c r="L127" s="3">
        <v>40.2</v>
      </c>
      <c r="M127" s="3">
        <v>3.31</v>
      </c>
    </row>
    <row r="128" spans="1:13">
      <c r="A128" s="8" t="s">
        <v>139</v>
      </c>
      <c r="B128" s="2">
        <f>HYPERLINK("https://www.suredividend.com/sure-analysis-APLE/","Apple Hospitality REIT, Inc.")</f>
        <v>0</v>
      </c>
      <c r="C128" s="1" t="s">
        <v>1961</v>
      </c>
      <c r="D128" s="3">
        <v>12.54</v>
      </c>
      <c r="E128" s="4">
        <v>0.07655502392344497</v>
      </c>
      <c r="F128" s="4">
        <v>0.05849</v>
      </c>
      <c r="G128" s="3">
        <v>0</v>
      </c>
      <c r="H128" s="5">
        <v>2945.367365</v>
      </c>
      <c r="I128" s="6">
        <v>16.7764</v>
      </c>
      <c r="J128" s="4">
        <v>1.374514</v>
      </c>
      <c r="L128" s="3">
        <v>14.83</v>
      </c>
      <c r="M128" s="3">
        <v>9.83</v>
      </c>
    </row>
    <row r="129" spans="1:13">
      <c r="A129" s="8" t="s">
        <v>140</v>
      </c>
      <c r="B129" s="2">
        <f>HYPERLINK("https://www.suredividend.com/sure-analysis-research-database/","Applied Therapeutics, Inc.")</f>
        <v>0</v>
      </c>
      <c r="C129" s="1" t="s">
        <v>1965</v>
      </c>
      <c r="D129" s="3">
        <v>0.101</v>
      </c>
      <c r="G129" s="3">
        <v>0</v>
      </c>
      <c r="H129" s="5">
        <v>14.632088</v>
      </c>
      <c r="J129" s="4">
        <v>0</v>
      </c>
    </row>
    <row r="130" spans="1:13">
      <c r="A130" s="8" t="s">
        <v>141</v>
      </c>
      <c r="B130" s="2">
        <f>HYPERLINK("https://www.suredividend.com/sure-analysis-APOG/","APOGEE ENTERPRISES, INC.")</f>
        <v>0</v>
      </c>
      <c r="C130" s="1" t="s">
        <v>1964</v>
      </c>
      <c r="D130" s="3">
        <v>39.1</v>
      </c>
      <c r="E130" s="4">
        <v>0.02762148337595908</v>
      </c>
      <c r="F130" s="4">
        <v>0.0251</v>
      </c>
      <c r="G130" s="3">
        <v>0</v>
      </c>
      <c r="H130" s="5">
        <v>841.475738</v>
      </c>
      <c r="I130" s="6">
        <v>21.039</v>
      </c>
      <c r="J130" s="4">
        <v>0.551705</v>
      </c>
    </row>
    <row r="131" spans="1:13">
      <c r="A131" s="8" t="s">
        <v>142</v>
      </c>
      <c r="B131" s="2">
        <f>HYPERLINK("https://www.suredividend.com/sure-analysis-research-database/","APPIAN CORP")</f>
        <v>0</v>
      </c>
      <c r="C131" s="1" t="s">
        <v>1960</v>
      </c>
      <c r="D131" s="3">
        <v>28.41</v>
      </c>
      <c r="G131" s="3">
        <v>0</v>
      </c>
      <c r="H131" s="5">
        <v>2097.316203</v>
      </c>
      <c r="J131" s="4">
        <v>0</v>
      </c>
      <c r="K131" s="7">
        <v>1.3001</v>
      </c>
    </row>
    <row r="132" spans="1:13">
      <c r="A132" s="8" t="s">
        <v>143</v>
      </c>
      <c r="B132" s="2">
        <f>HYPERLINK("https://www.suredividend.com/sure-analysis-research-database/","Digital Turbine, Inc.")</f>
        <v>0</v>
      </c>
      <c r="C132" s="1" t="s">
        <v>1960</v>
      </c>
      <c r="D132" s="3">
        <v>5.26</v>
      </c>
      <c r="F132" s="4">
        <v>0</v>
      </c>
      <c r="G132" s="3">
        <v>0</v>
      </c>
      <c r="H132" s="5">
        <v>582.052786</v>
      </c>
      <c r="K132" s="7">
        <v>1.5314</v>
      </c>
      <c r="L132" s="3">
        <v>8.279999999999999</v>
      </c>
      <c r="M132" s="3">
        <v>2.1</v>
      </c>
    </row>
    <row r="133" spans="1:13">
      <c r="A133" s="8" t="s">
        <v>144</v>
      </c>
      <c r="B133" s="2">
        <f>HYPERLINK("https://www.suredividend.com/sure-analysis-research-database/","Aquestive Therapeutics, Inc.")</f>
        <v>0</v>
      </c>
      <c r="C133" s="1" t="s">
        <v>1965</v>
      </c>
      <c r="D133" s="3">
        <v>3.38</v>
      </c>
      <c r="F133" s="4">
        <v>0</v>
      </c>
      <c r="G133" s="3">
        <v>0</v>
      </c>
      <c r="H133" s="5">
        <v>409.93046</v>
      </c>
      <c r="J133" s="4">
        <v>0</v>
      </c>
      <c r="K133" s="7">
        <v>0.8417</v>
      </c>
      <c r="L133" s="3">
        <v>7.55</v>
      </c>
      <c r="M133" s="3">
        <v>2.12</v>
      </c>
    </row>
    <row r="134" spans="1:13">
      <c r="A134" s="8" t="s">
        <v>145</v>
      </c>
      <c r="B134" s="2">
        <f>HYPERLINK("https://www.suredividend.com/sure-analysis-research-database/","ACCURAY INC")</f>
        <v>0</v>
      </c>
      <c r="C134" s="1" t="s">
        <v>1965</v>
      </c>
      <c r="D134" s="3">
        <v>0.8199</v>
      </c>
      <c r="F134" s="4">
        <v>0</v>
      </c>
      <c r="G134" s="3">
        <v>0</v>
      </c>
      <c r="H134" s="5">
        <v>91.783649</v>
      </c>
      <c r="J134" s="4">
        <v>0</v>
      </c>
      <c r="K134" s="7">
        <v>1.7092</v>
      </c>
      <c r="L134" s="3">
        <v>2.95</v>
      </c>
      <c r="M134" s="3">
        <v>0.78</v>
      </c>
    </row>
    <row r="135" spans="1:13">
      <c r="A135" s="8" t="s">
        <v>146</v>
      </c>
      <c r="B135" s="2">
        <f>HYPERLINK("https://www.suredividend.com/sure-analysis-research-database/","ARCBEST CORP /DE/")</f>
        <v>0</v>
      </c>
      <c r="C135" s="1" t="s">
        <v>1964</v>
      </c>
      <c r="D135" s="3">
        <v>91.45999999999999</v>
      </c>
      <c r="E135" s="4">
        <v>0.01</v>
      </c>
      <c r="F135" s="4">
        <v>0.0053</v>
      </c>
      <c r="G135" s="3">
        <v>0.48</v>
      </c>
      <c r="H135" s="5">
        <v>2059.533311</v>
      </c>
      <c r="I135" s="6">
        <v>21.1779</v>
      </c>
      <c r="J135" s="4">
        <v>0.113934</v>
      </c>
      <c r="K135" s="7">
        <v>1.4502</v>
      </c>
      <c r="L135" s="3">
        <v>102.45</v>
      </c>
      <c r="M135" s="3">
        <v>54.89</v>
      </c>
    </row>
    <row r="136" spans="1:13">
      <c r="A136" s="8" t="s">
        <v>147</v>
      </c>
      <c r="B136" s="2">
        <f>HYPERLINK("https://www.suredividend.com/sure-analysis-research-database/","Arcturus Therapeutics Holdings Inc.")</f>
        <v>0</v>
      </c>
      <c r="C136" s="1" t="s">
        <v>1965</v>
      </c>
      <c r="D136" s="3">
        <v>7.36</v>
      </c>
      <c r="F136" s="4">
        <v>0</v>
      </c>
      <c r="G136" s="3">
        <v>0</v>
      </c>
      <c r="H136" s="5">
        <v>206.559144</v>
      </c>
      <c r="J136" s="4">
        <v>0</v>
      </c>
      <c r="K136" s="7">
        <v>2.704</v>
      </c>
      <c r="L136" s="3">
        <v>24.17</v>
      </c>
      <c r="M136" s="3">
        <v>5.85</v>
      </c>
    </row>
    <row r="137" spans="1:13">
      <c r="A137" s="8" t="s">
        <v>148</v>
      </c>
      <c r="B137" s="2">
        <f>HYPERLINK("https://www.suredividend.com/sure-analysis-research-database/","Ardent Health Partners, Inc.")</f>
        <v>0</v>
      </c>
      <c r="C137" s="1" t="s">
        <v>1959</v>
      </c>
      <c r="D137" s="3">
        <v>8.529999999999999</v>
      </c>
      <c r="F137" s="4">
        <v>0</v>
      </c>
      <c r="G137" s="3">
        <v>0</v>
      </c>
      <c r="H137" s="5">
        <v>1222.822796</v>
      </c>
      <c r="I137" s="6">
        <v>5.9633</v>
      </c>
      <c r="J137" s="4">
        <v>0.276597</v>
      </c>
      <c r="K137" s="7">
        <v>0.3255</v>
      </c>
      <c r="L137" s="3">
        <v>15.65</v>
      </c>
      <c r="M137" s="3">
        <v>8.220000000000001</v>
      </c>
    </row>
    <row r="138" spans="1:13">
      <c r="A138" s="8" t="s">
        <v>149</v>
      </c>
      <c r="B138" s="2">
        <f>HYPERLINK("https://www.suredividend.com/sure-analysis-research-database/","ARDELYX, INC.")</f>
        <v>0</v>
      </c>
      <c r="C138" s="1" t="s">
        <v>1965</v>
      </c>
      <c r="D138" s="3">
        <v>8.050000000000001</v>
      </c>
      <c r="F138" s="4">
        <v>0</v>
      </c>
      <c r="G138" s="3">
        <v>0</v>
      </c>
      <c r="H138" s="5">
        <v>1941.364705</v>
      </c>
      <c r="J138" s="4">
        <v>0</v>
      </c>
      <c r="K138" s="7">
        <v>1.3297</v>
      </c>
      <c r="L138" s="3">
        <v>8.17</v>
      </c>
      <c r="M138" s="3">
        <v>3.21</v>
      </c>
    </row>
    <row r="139" spans="1:13">
      <c r="A139" s="8" t="s">
        <v>150</v>
      </c>
      <c r="B139" s="2">
        <f>HYPERLINK("https://www.suredividend.com/sure-analysis-research-database/","Arhaus, Inc.")</f>
        <v>0</v>
      </c>
      <c r="C139" s="1" t="s">
        <v>1959</v>
      </c>
      <c r="D139" s="3">
        <v>10.53</v>
      </c>
      <c r="F139" s="4">
        <v>0.00903</v>
      </c>
      <c r="G139" s="3">
        <v>0.5</v>
      </c>
      <c r="H139" s="5">
        <v>1491.041322</v>
      </c>
      <c r="I139" s="6">
        <v>20.2973</v>
      </c>
      <c r="J139" s="4">
        <v>0.006139</v>
      </c>
      <c r="K139" s="7">
        <v>1.6922</v>
      </c>
      <c r="L139" s="3">
        <v>13.02</v>
      </c>
      <c r="M139" s="3">
        <v>6.61</v>
      </c>
    </row>
    <row r="140" spans="1:13">
      <c r="A140" s="8" t="s">
        <v>151</v>
      </c>
      <c r="B140" s="2">
        <f>HYPERLINK("https://www.suredividend.com/sure-analysis-research-database/","Apollo Commercial Real Estate Finance, Inc.")</f>
        <v>0</v>
      </c>
      <c r="C140" s="1" t="s">
        <v>1961</v>
      </c>
      <c r="D140" s="3">
        <v>10.125</v>
      </c>
      <c r="E140" s="4">
        <v>0.1</v>
      </c>
      <c r="F140" s="4">
        <v>0.12839</v>
      </c>
      <c r="G140" s="3">
        <v>0</v>
      </c>
      <c r="H140" s="5">
        <v>1406.11157</v>
      </c>
      <c r="I140" s="6">
        <v>11.1684</v>
      </c>
      <c r="J140" s="4">
        <v>1.10628</v>
      </c>
      <c r="L140" s="3">
        <v>10.56</v>
      </c>
      <c r="M140" s="3">
        <v>7.14</v>
      </c>
    </row>
    <row r="141" spans="1:13">
      <c r="A141" s="8" t="s">
        <v>152</v>
      </c>
      <c r="B141" s="2">
        <f>HYPERLINK("https://www.suredividend.com/sure-analysis-research-database/","Aris Mining Corp.")</f>
        <v>0</v>
      </c>
      <c r="C141" s="1" t="s">
        <v>1959</v>
      </c>
      <c r="D141" s="3">
        <v>23.63</v>
      </c>
      <c r="E141" s="4">
        <v>0.02</v>
      </c>
      <c r="F141" s="4">
        <v>0.01363</v>
      </c>
      <c r="G141" s="3">
        <v>0</v>
      </c>
      <c r="H141" s="5">
        <v>1401.882804</v>
      </c>
      <c r="I141" s="6">
        <v>49.1354</v>
      </c>
      <c r="J141" s="4">
        <v>0.494861</v>
      </c>
    </row>
    <row r="142" spans="1:13">
      <c r="A142" s="8" t="s">
        <v>153</v>
      </c>
      <c r="B142" s="2">
        <f>HYPERLINK("https://www.suredividend.com/sure-analysis-research-database/","ARKO Corp.")</f>
        <v>0</v>
      </c>
      <c r="C142" s="1" t="s">
        <v>1959</v>
      </c>
      <c r="D142" s="3">
        <v>5.24</v>
      </c>
      <c r="E142" s="4">
        <v>0.02</v>
      </c>
      <c r="F142" s="4">
        <v>0.01915</v>
      </c>
      <c r="G142" s="3">
        <v>0</v>
      </c>
      <c r="H142" s="5">
        <v>583.897277</v>
      </c>
      <c r="I142" s="6">
        <v>45.4713</v>
      </c>
      <c r="J142" s="4">
        <v>1.049497</v>
      </c>
    </row>
    <row r="143" spans="1:13">
      <c r="A143" s="8" t="s">
        <v>154</v>
      </c>
      <c r="B143" s="2">
        <f>HYPERLINK("https://www.suredividend.com/sure-analysis-research-database/","AMERICAN REALTY INVESTORS INC")</f>
        <v>0</v>
      </c>
      <c r="C143" s="1" t="s">
        <v>1961</v>
      </c>
      <c r="D143" s="3">
        <v>17.34</v>
      </c>
      <c r="G143" s="3">
        <v>0</v>
      </c>
      <c r="H143" s="5">
        <v>280.560987</v>
      </c>
      <c r="I143" s="6">
        <v>48.7085</v>
      </c>
      <c r="J143" s="4">
        <v>0</v>
      </c>
    </row>
    <row r="144" spans="1:13">
      <c r="A144" s="8" t="s">
        <v>155</v>
      </c>
      <c r="B144" s="2">
        <f>HYPERLINK("https://www.suredividend.com/sure-analysis-research-database/","Arlo Technologies, Inc.")</f>
        <v>0</v>
      </c>
      <c r="C144" s="1" t="s">
        <v>1964</v>
      </c>
      <c r="D144" s="3">
        <v>13.655</v>
      </c>
      <c r="G144" s="3">
        <v>0</v>
      </c>
      <c r="H144" s="5">
        <v>1446.794458</v>
      </c>
      <c r="I144" s="6">
        <v>336.3856</v>
      </c>
      <c r="J144" s="4">
        <v>0</v>
      </c>
      <c r="L144" s="3">
        <v>19.94</v>
      </c>
      <c r="M144" s="3">
        <v>7.84</v>
      </c>
    </row>
    <row r="145" spans="1:13">
      <c r="A145" s="8" t="s">
        <v>156</v>
      </c>
      <c r="B145" s="2">
        <f>HYPERLINK("https://www.suredividend.com/sure-analysis-research-database/","Archrock, Inc.")</f>
        <v>0</v>
      </c>
      <c r="C145" s="1" t="s">
        <v>1969</v>
      </c>
      <c r="D145" s="3">
        <v>27.88</v>
      </c>
      <c r="E145" s="4">
        <v>0.03</v>
      </c>
      <c r="F145" s="4">
        <v>0.02498</v>
      </c>
      <c r="G145" s="3">
        <v>0</v>
      </c>
      <c r="H145" s="5">
        <v>4891.059315</v>
      </c>
      <c r="I145" s="6">
        <v>18.4376</v>
      </c>
      <c r="J145" s="4">
        <v>0.510472</v>
      </c>
      <c r="L145" s="3">
        <v>29.47</v>
      </c>
      <c r="M145" s="3">
        <v>19.61</v>
      </c>
    </row>
    <row r="146" spans="1:13">
      <c r="A146" s="8" t="s">
        <v>157</v>
      </c>
      <c r="B146" s="2">
        <f>HYPERLINK("https://www.suredividend.com/sure-analysis-AROW/","ARROW FINANCIAL CORP")</f>
        <v>0</v>
      </c>
      <c r="C146" s="1" t="s">
        <v>1962</v>
      </c>
      <c r="D146" s="3">
        <v>33.98</v>
      </c>
      <c r="E146" s="4">
        <v>0.03413772807533844</v>
      </c>
      <c r="F146" s="4">
        <v>0.03408</v>
      </c>
      <c r="G146" s="3">
        <v>0</v>
      </c>
      <c r="H146" s="5">
        <v>558.714553</v>
      </c>
      <c r="I146" s="6">
        <v>16.237</v>
      </c>
      <c r="J146" s="4">
        <v>0.546702</v>
      </c>
      <c r="L146" s="3">
        <v>33.56</v>
      </c>
      <c r="M146" s="3">
        <v>22.04</v>
      </c>
    </row>
    <row r="147" spans="1:13">
      <c r="A147" s="8" t="s">
        <v>158</v>
      </c>
      <c r="B147" s="2">
        <f>HYPERLINK("https://www.suredividend.com/sure-analysis-research-database/","Arq, Inc.")</f>
        <v>0</v>
      </c>
      <c r="C147" s="1" t="s">
        <v>1959</v>
      </c>
      <c r="D147" s="3">
        <v>3.665</v>
      </c>
      <c r="G147" s="3">
        <v>0</v>
      </c>
      <c r="H147" s="5">
        <v>152.69402</v>
      </c>
      <c r="J147" s="4">
        <v>0</v>
      </c>
    </row>
    <row r="148" spans="1:13">
      <c r="A148" s="8" t="s">
        <v>159</v>
      </c>
      <c r="B148" s="2">
        <f>HYPERLINK("https://www.suredividend.com/sure-analysis-research-database/","Arcutis Biotherapeutics, Inc.")</f>
        <v>0</v>
      </c>
      <c r="C148" s="1" t="s">
        <v>1965</v>
      </c>
      <c r="D148" s="3">
        <v>26.7</v>
      </c>
      <c r="G148" s="3">
        <v>0</v>
      </c>
      <c r="H148" s="5">
        <v>3270.541526</v>
      </c>
      <c r="J148" s="4">
        <v>0</v>
      </c>
    </row>
    <row r="149" spans="1:13">
      <c r="A149" s="8" t="s">
        <v>160</v>
      </c>
      <c r="B149" s="2">
        <f>HYPERLINK("https://www.suredividend.com/sure-analysis-ARR/","Armour Residential REIT, Inc.")</f>
        <v>0</v>
      </c>
      <c r="C149" s="1" t="s">
        <v>1961</v>
      </c>
      <c r="D149" s="3">
        <v>18.49</v>
      </c>
      <c r="E149" s="4">
        <v>0.1557598702001082</v>
      </c>
      <c r="F149" s="4">
        <v>0.25108</v>
      </c>
      <c r="G149" s="3">
        <v>2.88</v>
      </c>
      <c r="H149" s="5">
        <v>2064.522454</v>
      </c>
      <c r="I149" s="6">
        <v>39.2936</v>
      </c>
      <c r="J149" s="4">
        <v>3.805324</v>
      </c>
      <c r="K149" s="7">
        <v>1.0278</v>
      </c>
    </row>
    <row r="150" spans="1:13">
      <c r="A150" s="8" t="s">
        <v>161</v>
      </c>
      <c r="B150" s="2">
        <f>HYPERLINK("https://www.suredividend.com/sure-analysis-research-database/","Array Technologies, Inc.")</f>
        <v>0</v>
      </c>
      <c r="C150" s="1" t="s">
        <v>1959</v>
      </c>
      <c r="D150" s="3">
        <v>10.34</v>
      </c>
      <c r="F150" s="4">
        <v>0</v>
      </c>
      <c r="G150" s="3">
        <v>0</v>
      </c>
      <c r="H150" s="5">
        <v>1561.082179</v>
      </c>
      <c r="J150" s="4">
        <v>0</v>
      </c>
      <c r="K150" s="7">
        <v>1.4413</v>
      </c>
      <c r="L150" s="3">
        <v>10.47</v>
      </c>
      <c r="M150" s="3">
        <v>3.76</v>
      </c>
    </row>
    <row r="151" spans="1:13">
      <c r="A151" s="8" t="s">
        <v>162</v>
      </c>
      <c r="B151" s="2">
        <f>HYPERLINK("https://www.suredividend.com/sure-analysis-research-database/","Artiva Biotherapeutics, Inc.")</f>
        <v>0</v>
      </c>
      <c r="C151" s="1" t="s">
        <v>1959</v>
      </c>
      <c r="D151" s="3">
        <v>4.75</v>
      </c>
      <c r="F151" s="4">
        <v>0</v>
      </c>
      <c r="G151" s="3">
        <v>0</v>
      </c>
      <c r="H151" s="5">
        <v>116.588294</v>
      </c>
      <c r="J151" s="4">
        <v>0</v>
      </c>
      <c r="K151" s="7">
        <v>0.6388</v>
      </c>
      <c r="L151" s="3">
        <v>7.46</v>
      </c>
      <c r="M151" s="3">
        <v>1.47</v>
      </c>
    </row>
    <row r="152" spans="1:13">
      <c r="A152" s="8" t="s">
        <v>163</v>
      </c>
      <c r="B152" s="2">
        <f>HYPERLINK("https://www.suredividend.com/sure-analysis-research-database/","ARVINAS, INC.")</f>
        <v>0</v>
      </c>
      <c r="C152" s="1" t="s">
        <v>1965</v>
      </c>
      <c r="D152" s="3">
        <v>12.94</v>
      </c>
      <c r="F152" s="4">
        <v>0</v>
      </c>
      <c r="G152" s="3">
        <v>0</v>
      </c>
      <c r="H152" s="5">
        <v>809.226104</v>
      </c>
      <c r="J152" s="4">
        <v>0</v>
      </c>
      <c r="K152" s="7">
        <v>1.5406</v>
      </c>
      <c r="L152" s="3">
        <v>20.38</v>
      </c>
      <c r="M152" s="3">
        <v>5.9</v>
      </c>
    </row>
    <row r="153" spans="1:13">
      <c r="A153" s="8" t="s">
        <v>164</v>
      </c>
      <c r="B153" s="2">
        <f>HYPERLINK("https://www.suredividend.com/sure-analysis-research-database/","ARROWHEAD PHARMACEUTICALS, INC.")</f>
        <v>0</v>
      </c>
      <c r="C153" s="1" t="s">
        <v>1965</v>
      </c>
      <c r="D153" s="3">
        <v>68.13</v>
      </c>
      <c r="F153" s="4">
        <v>0</v>
      </c>
      <c r="G153" s="3">
        <v>0</v>
      </c>
      <c r="H153" s="5">
        <v>9180.726121</v>
      </c>
      <c r="J153" s="4">
        <v>0</v>
      </c>
      <c r="K153" s="7">
        <v>2.3952</v>
      </c>
      <c r="L153" s="3">
        <v>76.76000000000001</v>
      </c>
      <c r="M153" s="3">
        <v>9.57</v>
      </c>
    </row>
    <row r="154" spans="1:13">
      <c r="A154" s="8" t="s">
        <v>165</v>
      </c>
      <c r="B154" s="2">
        <f>HYPERLINK("https://www.suredividend.com/sure-analysis-research-database/","Asana, Inc.")</f>
        <v>0</v>
      </c>
      <c r="C154" s="1" t="s">
        <v>1959</v>
      </c>
      <c r="D154" s="3">
        <v>10.81</v>
      </c>
      <c r="F154" s="4">
        <v>0</v>
      </c>
      <c r="G154" s="3">
        <v>0</v>
      </c>
      <c r="H154" s="5">
        <v>2532.228011</v>
      </c>
      <c r="J154" s="4">
        <v>0</v>
      </c>
      <c r="K154" s="7">
        <v>1.5499</v>
      </c>
      <c r="L154" s="3">
        <v>24.5</v>
      </c>
      <c r="M154" s="3">
        <v>10.59</v>
      </c>
    </row>
    <row r="155" spans="1:13">
      <c r="A155" s="8" t="s">
        <v>166</v>
      </c>
      <c r="B155" s="2">
        <f>HYPERLINK("https://www.suredividend.com/sure-analysis-ASB/","ASSOCIATED BANC-CORP")</f>
        <v>0</v>
      </c>
      <c r="C155" s="1" t="s">
        <v>1962</v>
      </c>
      <c r="D155" s="3">
        <v>27.295</v>
      </c>
      <c r="E155" s="4">
        <v>0.03517127679062099</v>
      </c>
      <c r="F155" s="4">
        <v>0.03156</v>
      </c>
      <c r="G155" s="3">
        <v>0.93</v>
      </c>
      <c r="H155" s="5">
        <v>4529.682721</v>
      </c>
      <c r="I155" s="6">
        <v>27.5304</v>
      </c>
      <c r="J155" s="4">
        <v>0.747897</v>
      </c>
      <c r="K155" s="7">
        <v>1.1458</v>
      </c>
      <c r="L155" s="3">
        <v>27.58</v>
      </c>
      <c r="M155" s="3">
        <v>17.82</v>
      </c>
    </row>
    <row r="156" spans="1:13">
      <c r="A156" s="8" t="s">
        <v>167</v>
      </c>
      <c r="B156" s="2">
        <f>HYPERLINK("https://www.suredividend.com/sure-analysis-research-database/","Ardmore Shipping Corp")</f>
        <v>0</v>
      </c>
      <c r="C156" s="1" t="s">
        <v>1969</v>
      </c>
      <c r="D156" s="3">
        <v>11.85</v>
      </c>
      <c r="E156" s="4">
        <v>0.03</v>
      </c>
      <c r="F156" s="4">
        <v>0.04332</v>
      </c>
      <c r="G156" s="3">
        <v>0.3</v>
      </c>
      <c r="H156" s="5">
        <v>483.84467</v>
      </c>
      <c r="I156" s="6">
        <v>3.7622</v>
      </c>
      <c r="J156" s="4">
        <v>0.367532</v>
      </c>
      <c r="K156" s="7">
        <v>0.1996</v>
      </c>
      <c r="L156" s="3">
        <v>13.45</v>
      </c>
      <c r="M156" s="3">
        <v>8.16</v>
      </c>
    </row>
    <row r="157" spans="1:13">
      <c r="A157" s="8" t="s">
        <v>168</v>
      </c>
      <c r="B157" s="2">
        <f>HYPERLINK("https://www.suredividend.com/sure-analysis-research-database/","ASGN Inc")</f>
        <v>0</v>
      </c>
      <c r="C157" s="1" t="s">
        <v>1964</v>
      </c>
      <c r="D157" s="3">
        <v>51</v>
      </c>
      <c r="F157" s="4">
        <v>0</v>
      </c>
      <c r="G157" s="3">
        <v>0</v>
      </c>
      <c r="H157" s="5">
        <v>2179.835</v>
      </c>
      <c r="I157" s="6">
        <v>17.2183</v>
      </c>
      <c r="J157" s="4">
        <v>0</v>
      </c>
      <c r="K157" s="7">
        <v>0.7544999999999999</v>
      </c>
      <c r="L157" s="3">
        <v>95.29000000000001</v>
      </c>
      <c r="M157" s="3">
        <v>39.25</v>
      </c>
    </row>
    <row r="158" spans="1:13">
      <c r="A158" s="8" t="s">
        <v>169</v>
      </c>
      <c r="B158" s="2">
        <f>HYPERLINK("https://www.suredividend.com/sure-analysis-research-database/","AdvanSix Inc.")</f>
        <v>0</v>
      </c>
      <c r="C158" s="1" t="s">
        <v>1970</v>
      </c>
      <c r="D158" s="3">
        <v>17.02</v>
      </c>
      <c r="E158" s="4">
        <v>0.04</v>
      </c>
      <c r="F158" s="4">
        <v>0.02877</v>
      </c>
      <c r="G158" s="3">
        <v>0.64</v>
      </c>
      <c r="H158" s="5">
        <v>457.225876</v>
      </c>
      <c r="I158" s="6">
        <v>8.7209</v>
      </c>
      <c r="J158" s="4">
        <v>0.327166</v>
      </c>
      <c r="K158" s="7">
        <v>1.0866</v>
      </c>
      <c r="L158" s="3">
        <v>31.53</v>
      </c>
      <c r="M158" s="3">
        <v>14.1</v>
      </c>
    </row>
    <row r="159" spans="1:13">
      <c r="A159" s="8" t="s">
        <v>170</v>
      </c>
      <c r="B159" s="2">
        <f>HYPERLINK("https://www.suredividend.com/sure-analysis-research-database/","AerSale Corp")</f>
        <v>0</v>
      </c>
      <c r="C159" s="1" t="s">
        <v>1959</v>
      </c>
      <c r="D159" s="3">
        <v>7.535</v>
      </c>
      <c r="G159" s="3">
        <v>0</v>
      </c>
      <c r="H159" s="5">
        <v>356.246833</v>
      </c>
      <c r="I159" s="6">
        <v>60.5862</v>
      </c>
      <c r="J159" s="4">
        <v>0</v>
      </c>
    </row>
    <row r="160" spans="1:13">
      <c r="A160" s="8" t="s">
        <v>171</v>
      </c>
      <c r="B160" s="2">
        <f>HYPERLINK("https://www.suredividend.com/sure-analysis-research-database/","Academy Sports &amp; Outdoors, Inc.")</f>
        <v>0</v>
      </c>
      <c r="C160" s="1" t="s">
        <v>1959</v>
      </c>
      <c r="D160" s="3">
        <v>58.37</v>
      </c>
      <c r="E160" s="4">
        <v>0.01</v>
      </c>
      <c r="F160" s="4">
        <v>0.00593</v>
      </c>
      <c r="G160" s="3">
        <v>0</v>
      </c>
      <c r="H160" s="5">
        <v>3892.187481</v>
      </c>
      <c r="I160" s="6">
        <v>10.332</v>
      </c>
      <c r="J160" s="4">
        <v>0.089323</v>
      </c>
    </row>
    <row r="161" spans="1:13">
      <c r="A161" s="8" t="s">
        <v>172</v>
      </c>
      <c r="B161" s="2">
        <f>HYPERLINK("https://www.suredividend.com/sure-analysis-research-database/","ASP Isotopes Inc.")</f>
        <v>0</v>
      </c>
      <c r="C161" s="1" t="s">
        <v>1959</v>
      </c>
      <c r="D161" s="3">
        <v>7.49</v>
      </c>
      <c r="G161" s="3">
        <v>0</v>
      </c>
      <c r="H161" s="5">
        <v>809.132891</v>
      </c>
      <c r="J161" s="4">
        <v>0</v>
      </c>
    </row>
    <row r="162" spans="1:13">
      <c r="A162" s="8" t="s">
        <v>173</v>
      </c>
      <c r="B162" s="2">
        <f>HYPERLINK("https://www.suredividend.com/sure-analysis-research-database/","ASPEN AEROGELS INC")</f>
        <v>0</v>
      </c>
      <c r="C162" s="1" t="s">
        <v>1964</v>
      </c>
      <c r="D162" s="3">
        <v>3.58</v>
      </c>
      <c r="G162" s="3">
        <v>0</v>
      </c>
      <c r="H162" s="5">
        <v>295.87655</v>
      </c>
      <c r="J162" s="4">
        <v>0</v>
      </c>
    </row>
    <row r="163" spans="1:13">
      <c r="A163" s="8" t="s">
        <v>174</v>
      </c>
      <c r="B163" s="2">
        <f>HYPERLINK("https://www.suredividend.com/sure-analysis-research-database/","ASTEC INDUSTRIES INC")</f>
        <v>0</v>
      </c>
      <c r="C163" s="1" t="s">
        <v>1964</v>
      </c>
      <c r="D163" s="3">
        <v>50.02</v>
      </c>
      <c r="E163" s="4">
        <v>0.01</v>
      </c>
      <c r="F163" s="4">
        <v>0.01105</v>
      </c>
      <c r="G163" s="3">
        <v>0</v>
      </c>
      <c r="H163" s="5">
        <v>1144.249567</v>
      </c>
      <c r="I163" s="6">
        <v>23.8883</v>
      </c>
      <c r="J163" s="4">
        <v>0.248434</v>
      </c>
    </row>
    <row r="164" spans="1:13">
      <c r="A164" s="8" t="s">
        <v>175</v>
      </c>
      <c r="B164" s="2">
        <f>HYPERLINK("https://www.suredividend.com/sure-analysis-research-database/","Astrana Health, Inc.")</f>
        <v>0</v>
      </c>
      <c r="C164" s="1" t="s">
        <v>1959</v>
      </c>
      <c r="D164" s="3">
        <v>26.695</v>
      </c>
      <c r="G164" s="3">
        <v>0</v>
      </c>
      <c r="H164" s="5">
        <v>1501.774912</v>
      </c>
      <c r="I164" s="6">
        <v>157.4683</v>
      </c>
      <c r="J164" s="4">
        <v>0.836089</v>
      </c>
      <c r="L164" s="3">
        <v>39.97</v>
      </c>
      <c r="M164" s="3">
        <v>20.12</v>
      </c>
    </row>
    <row r="165" spans="1:13">
      <c r="A165" s="8" t="s">
        <v>176</v>
      </c>
      <c r="B165" s="2">
        <f>HYPERLINK("https://www.suredividend.com/sure-analysis-research-database/","AST SpaceMobile, Inc.")</f>
        <v>0</v>
      </c>
      <c r="C165" s="1" t="s">
        <v>1959</v>
      </c>
      <c r="D165" s="3">
        <v>106.98</v>
      </c>
      <c r="G165" s="3">
        <v>0</v>
      </c>
      <c r="H165" s="5">
        <v>37986.500655</v>
      </c>
      <c r="J165" s="4">
        <v>0</v>
      </c>
    </row>
    <row r="166" spans="1:13">
      <c r="A166" s="8" t="s">
        <v>177</v>
      </c>
      <c r="B166" s="2">
        <f>HYPERLINK("https://www.suredividend.com/sure-analysis-research-database/","ASURE SOFTWARE INC")</f>
        <v>0</v>
      </c>
      <c r="C166" s="1" t="s">
        <v>1960</v>
      </c>
      <c r="D166" s="3">
        <v>9.56</v>
      </c>
      <c r="G166" s="3">
        <v>0</v>
      </c>
      <c r="H166" s="5">
        <v>264.867387</v>
      </c>
      <c r="J166" s="4">
        <v>0</v>
      </c>
    </row>
    <row r="167" spans="1:13">
      <c r="A167" s="8" t="s">
        <v>178</v>
      </c>
      <c r="B167" s="2">
        <f>HYPERLINK("https://www.suredividend.com/sure-analysis-research-database/","Alphatec Holdings, Inc.")</f>
        <v>0</v>
      </c>
      <c r="C167" s="1" t="s">
        <v>1965</v>
      </c>
      <c r="D167" s="3">
        <v>17.09</v>
      </c>
      <c r="F167" s="4">
        <v>0</v>
      </c>
      <c r="G167" s="3">
        <v>0</v>
      </c>
      <c r="H167" s="5">
        <v>2529.809651</v>
      </c>
      <c r="J167" s="4">
        <v>0</v>
      </c>
      <c r="K167" s="7">
        <v>0.9327</v>
      </c>
      <c r="L167" s="3">
        <v>23.29</v>
      </c>
      <c r="M167" s="3">
        <v>8.81</v>
      </c>
    </row>
    <row r="168" spans="1:13">
      <c r="A168" s="8" t="s">
        <v>179</v>
      </c>
      <c r="B168" s="2">
        <f>HYPERLINK("https://www.suredividend.com/sure-analysis-research-database/","A10 Networks, Inc.")</f>
        <v>0</v>
      </c>
      <c r="C168" s="1" t="s">
        <v>1960</v>
      </c>
      <c r="D168" s="3">
        <v>17.135</v>
      </c>
      <c r="E168" s="4">
        <v>0.01</v>
      </c>
      <c r="F168" s="4">
        <v>0.01116</v>
      </c>
      <c r="G168" s="3">
        <v>0.24</v>
      </c>
      <c r="H168" s="5">
        <v>1228.674722</v>
      </c>
      <c r="I168" s="6">
        <v>26.9712</v>
      </c>
      <c r="J168" s="4">
        <v>0.390846</v>
      </c>
      <c r="K168" s="7">
        <v>1.0063</v>
      </c>
      <c r="L168" s="3">
        <v>21.67</v>
      </c>
      <c r="M168" s="3">
        <v>13.67</v>
      </c>
    </row>
    <row r="169" spans="1:13">
      <c r="A169" s="8" t="s">
        <v>180</v>
      </c>
      <c r="B169" s="2">
        <f>HYPERLINK("https://www.suredividend.com/sure-analysis-research-database/","Anterix Inc.")</f>
        <v>0</v>
      </c>
      <c r="C169" s="1" t="s">
        <v>1968</v>
      </c>
      <c r="D169" s="3">
        <v>23.97</v>
      </c>
      <c r="F169" s="4">
        <v>0</v>
      </c>
      <c r="G169" s="3">
        <v>0</v>
      </c>
      <c r="H169" s="5">
        <v>448.263169</v>
      </c>
      <c r="I169" s="6">
        <v>4.6873</v>
      </c>
      <c r="J169" s="4">
        <v>0</v>
      </c>
      <c r="K169" s="7">
        <v>0.5707</v>
      </c>
      <c r="L169" s="3">
        <v>42.91</v>
      </c>
      <c r="M169" s="3">
        <v>17.58</v>
      </c>
    </row>
    <row r="170" spans="1:13">
      <c r="A170" s="8" t="s">
        <v>181</v>
      </c>
      <c r="B170" s="2">
        <f>HYPERLINK("https://www.suredividend.com/sure-analysis-research-database/","Adtalem Global Education Inc.")</f>
        <v>0</v>
      </c>
      <c r="C170" s="1" t="s">
        <v>1966</v>
      </c>
      <c r="D170" s="3">
        <v>122</v>
      </c>
      <c r="F170" s="4">
        <v>0</v>
      </c>
      <c r="G170" s="3">
        <v>0.36</v>
      </c>
      <c r="H170" s="5">
        <v>4417.187908</v>
      </c>
      <c r="I170" s="6">
        <v>17.4778</v>
      </c>
      <c r="J170" s="4">
        <v>0</v>
      </c>
      <c r="K170" s="7">
        <v>0.7631</v>
      </c>
      <c r="L170" s="3">
        <v>156.26</v>
      </c>
      <c r="M170" s="3">
        <v>86.26000000000001</v>
      </c>
    </row>
    <row r="171" spans="1:13">
      <c r="A171" s="8" t="s">
        <v>182</v>
      </c>
      <c r="B171" s="2">
        <f>HYPERLINK("https://www.suredividend.com/sure-analysis-research-database/","Atkore Inc.")</f>
        <v>0</v>
      </c>
      <c r="C171" s="1" t="s">
        <v>1964</v>
      </c>
      <c r="D171" s="3">
        <v>73.02</v>
      </c>
      <c r="E171" s="4">
        <v>0.02</v>
      </c>
      <c r="F171" s="4">
        <v>0.00769</v>
      </c>
      <c r="G171" s="3">
        <v>1.31</v>
      </c>
      <c r="H171" s="5">
        <v>2466.485517</v>
      </c>
      <c r="K171" s="7">
        <v>1.5321</v>
      </c>
      <c r="L171" s="3">
        <v>87.69</v>
      </c>
      <c r="M171" s="3">
        <v>49.15</v>
      </c>
    </row>
    <row r="172" spans="1:13">
      <c r="A172" s="8" t="s">
        <v>183</v>
      </c>
      <c r="B172" s="2">
        <f>HYPERLINK("https://www.suredividend.com/sure-analysis-research-database/","Atlanticus Holdings Corp")</f>
        <v>0</v>
      </c>
      <c r="C172" s="1" t="s">
        <v>1962</v>
      </c>
      <c r="D172" s="3">
        <v>59.82</v>
      </c>
      <c r="F172" s="4">
        <v>0</v>
      </c>
      <c r="G172" s="3">
        <v>0.5</v>
      </c>
      <c r="H172" s="5">
        <v>908.340385</v>
      </c>
      <c r="I172" s="6">
        <v>8.6297</v>
      </c>
      <c r="J172" s="4">
        <v>0.137923</v>
      </c>
      <c r="K172" s="7">
        <v>1.6836</v>
      </c>
      <c r="L172" s="3">
        <v>78.91</v>
      </c>
      <c r="M172" s="3">
        <v>41.37</v>
      </c>
    </row>
    <row r="173" spans="1:13">
      <c r="A173" s="8" t="s">
        <v>184</v>
      </c>
      <c r="B173" s="2">
        <f>HYPERLINK("https://www.suredividend.com/sure-analysis-research-database/","AMES NATIONAL CORP")</f>
        <v>0</v>
      </c>
      <c r="C173" s="1" t="s">
        <v>1962</v>
      </c>
      <c r="D173" s="3">
        <v>24.49</v>
      </c>
      <c r="E173" s="4">
        <v>0.03</v>
      </c>
      <c r="F173" s="4">
        <v>0.04349</v>
      </c>
      <c r="G173" s="3">
        <v>0.8</v>
      </c>
      <c r="H173" s="5">
        <v>217.680248</v>
      </c>
      <c r="I173" s="6">
        <v>13.5829</v>
      </c>
      <c r="J173" s="4">
        <v>0.445464</v>
      </c>
      <c r="K173" s="7">
        <v>0.5676</v>
      </c>
      <c r="L173" s="3">
        <v>24.48</v>
      </c>
      <c r="M173" s="3">
        <v>15.61</v>
      </c>
    </row>
    <row r="174" spans="1:13">
      <c r="A174" s="8" t="s">
        <v>185</v>
      </c>
      <c r="B174" s="2">
        <f>HYPERLINK("https://www.suredividend.com/sure-analysis-research-database/","Atmus Filtration Technologies Inc.")</f>
        <v>0</v>
      </c>
      <c r="C174" s="1" t="s">
        <v>1959</v>
      </c>
      <c r="D174" s="3">
        <v>57.34</v>
      </c>
      <c r="F174" s="4">
        <v>0.00113</v>
      </c>
      <c r="G174" s="3">
        <v>0.21</v>
      </c>
      <c r="H174" s="5">
        <v>4675.289645</v>
      </c>
      <c r="I174" s="6">
        <v>23.435</v>
      </c>
      <c r="J174" s="4">
        <v>0.08421099999999999</v>
      </c>
      <c r="K174" s="7">
        <v>1.0747</v>
      </c>
      <c r="L174" s="3">
        <v>57.85</v>
      </c>
      <c r="M174" s="3">
        <v>30.82</v>
      </c>
    </row>
    <row r="175" spans="1:13">
      <c r="A175" s="8" t="s">
        <v>186</v>
      </c>
      <c r="B175" s="2">
        <f>HYPERLINK("https://www.suredividend.com/sure-analysis-research-database/","ATN International, Inc.")</f>
        <v>0</v>
      </c>
      <c r="C175" s="1" t="s">
        <v>1968</v>
      </c>
      <c r="D175" s="3">
        <v>22.96</v>
      </c>
      <c r="E175" s="4">
        <v>0.05</v>
      </c>
      <c r="F175" s="4">
        <v>0.03906</v>
      </c>
      <c r="G175" s="3">
        <v>1.06</v>
      </c>
      <c r="H175" s="5">
        <v>350.00455</v>
      </c>
      <c r="K175" s="7">
        <v>0.479</v>
      </c>
      <c r="L175" s="3">
        <v>23.49</v>
      </c>
      <c r="M175" s="3">
        <v>13.13</v>
      </c>
    </row>
    <row r="176" spans="1:13">
      <c r="A176" s="8" t="s">
        <v>187</v>
      </c>
      <c r="B176" s="2">
        <f>HYPERLINK("https://www.suredividend.com/sure-analysis-research-database/","Actinium Pharmaceuticals, Inc.")</f>
        <v>0</v>
      </c>
      <c r="C176" s="1" t="s">
        <v>1965</v>
      </c>
      <c r="D176" s="3">
        <v>1.32</v>
      </c>
      <c r="F176" s="4">
        <v>0</v>
      </c>
      <c r="G176" s="3">
        <v>0</v>
      </c>
      <c r="H176" s="5">
        <v>41.178576</v>
      </c>
      <c r="J176" s="4">
        <v>0</v>
      </c>
      <c r="L176" s="3">
        <v>2.41</v>
      </c>
      <c r="M176" s="3">
        <v>1.03</v>
      </c>
    </row>
    <row r="177" spans="1:13">
      <c r="A177" s="8" t="s">
        <v>188</v>
      </c>
      <c r="B177" s="2">
        <f>HYPERLINK("https://www.suredividend.com/sure-analysis-research-database/","ATOSSA THERAPEUTICS, INC.")</f>
        <v>0</v>
      </c>
      <c r="C177" s="1" t="s">
        <v>1965</v>
      </c>
      <c r="D177" s="3">
        <v>0.5800999999999999</v>
      </c>
      <c r="G177" s="3">
        <v>0</v>
      </c>
      <c r="H177" s="5">
        <v>77.92912</v>
      </c>
      <c r="J177" s="4">
        <v>0</v>
      </c>
      <c r="L177" s="3">
        <v>1.29</v>
      </c>
      <c r="M177" s="3">
        <v>0.55</v>
      </c>
    </row>
    <row r="178" spans="1:13">
      <c r="A178" s="8" t="s">
        <v>189</v>
      </c>
      <c r="B178" s="2">
        <f>HYPERLINK("https://www.suredividend.com/sure-analysis-research-database/","AtriCure, Inc.")</f>
        <v>0</v>
      </c>
      <c r="C178" s="1" t="s">
        <v>1965</v>
      </c>
      <c r="D178" s="3">
        <v>39.28</v>
      </c>
      <c r="G178" s="3">
        <v>0</v>
      </c>
      <c r="H178" s="5">
        <v>1952.386119</v>
      </c>
      <c r="J178" s="4">
        <v>0</v>
      </c>
    </row>
    <row r="179" spans="1:13">
      <c r="A179" s="8" t="s">
        <v>190</v>
      </c>
      <c r="B179" s="2">
        <f>HYPERLINK("https://www.suredividend.com/sure-analysis-research-database/","ASTRONICS CORP")</f>
        <v>0</v>
      </c>
      <c r="C179" s="1" t="s">
        <v>1964</v>
      </c>
      <c r="D179" s="3">
        <v>76.43000000000001</v>
      </c>
      <c r="G179" s="3">
        <v>0</v>
      </c>
      <c r="H179" s="5">
        <v>2708.88207</v>
      </c>
      <c r="J179" s="4">
        <v>0</v>
      </c>
    </row>
    <row r="180" spans="1:13">
      <c r="A180" s="8" t="s">
        <v>191</v>
      </c>
      <c r="B180" s="2">
        <f>HYPERLINK("https://www.suredividend.com/sure-analysis-research-database/","Air Transport Services Group, Inc.")</f>
        <v>0</v>
      </c>
      <c r="C180" s="1" t="s">
        <v>1964</v>
      </c>
      <c r="D180" s="3">
        <v>0</v>
      </c>
      <c r="G180" s="3">
        <v>0</v>
      </c>
      <c r="H180" s="5">
        <v>1481.217923</v>
      </c>
      <c r="I180" s="6">
        <v>53.9921</v>
      </c>
      <c r="J180" s="4">
        <v>0</v>
      </c>
    </row>
    <row r="181" spans="1:13">
      <c r="A181" s="8" t="s">
        <v>192</v>
      </c>
      <c r="B181" s="2">
        <f>HYPERLINK("https://www.suredividend.com/sure-analysis-research-database/","Astria Therapeutics, Inc.")</f>
        <v>0</v>
      </c>
      <c r="C181" s="1" t="s">
        <v>1959</v>
      </c>
      <c r="D181" s="3">
        <v>12.49</v>
      </c>
      <c r="G181" s="3">
        <v>0</v>
      </c>
      <c r="H181" s="5">
        <v>725.0741</v>
      </c>
      <c r="J181" s="4">
        <v>0</v>
      </c>
      <c r="L181" s="3">
        <v>13.29</v>
      </c>
      <c r="M181" s="3">
        <v>3.56</v>
      </c>
    </row>
    <row r="182" spans="1:13">
      <c r="A182" s="8" t="s">
        <v>193</v>
      </c>
      <c r="B182" s="2">
        <f>HYPERLINK("https://www.suredividend.com/sure-analysis-AUB/","Atlantic Union Bankshares Corp")</f>
        <v>0</v>
      </c>
      <c r="C182" s="1" t="s">
        <v>1962</v>
      </c>
      <c r="D182" s="3">
        <v>40.09</v>
      </c>
      <c r="E182" s="4">
        <v>0.03691693689199301</v>
      </c>
      <c r="F182" s="4">
        <v>0.035</v>
      </c>
      <c r="G182" s="3">
        <v>0</v>
      </c>
      <c r="H182" s="5">
        <v>5699.300898</v>
      </c>
      <c r="I182" s="6">
        <v>27.4444</v>
      </c>
      <c r="J182" s="4">
        <v>0.773945</v>
      </c>
      <c r="L182" s="3">
        <v>38.8</v>
      </c>
      <c r="M182" s="3">
        <v>22.09</v>
      </c>
    </row>
    <row r="183" spans="1:13">
      <c r="A183" s="8" t="s">
        <v>194</v>
      </c>
      <c r="B183" s="2">
        <f>HYPERLINK("https://www.suredividend.com/sure-analysis-research-database/","Aurinia Pharmaceuticals Inc.")</f>
        <v>0</v>
      </c>
      <c r="C183" s="1" t="s">
        <v>1965</v>
      </c>
      <c r="D183" s="3">
        <v>14.94</v>
      </c>
      <c r="G183" s="3">
        <v>0</v>
      </c>
      <c r="H183" s="5">
        <v>1948.603462</v>
      </c>
      <c r="I183" s="6">
        <v>25.0344</v>
      </c>
      <c r="J183" s="4">
        <v>0</v>
      </c>
    </row>
    <row r="184" spans="1:13">
      <c r="A184" s="8" t="s">
        <v>195</v>
      </c>
      <c r="B184" s="2">
        <f>HYPERLINK("https://www.suredividend.com/sure-analysis-research-database/","Aurora Innovation, Inc.")</f>
        <v>0</v>
      </c>
      <c r="C184" s="1" t="s">
        <v>1959</v>
      </c>
      <c r="D184" s="3">
        <v>4.71</v>
      </c>
      <c r="G184" s="3">
        <v>0</v>
      </c>
      <c r="H184" s="5">
        <v>9018.828813</v>
      </c>
      <c r="J184" s="4">
        <v>0</v>
      </c>
    </row>
    <row r="185" spans="1:13">
      <c r="A185" s="8" t="s">
        <v>196</v>
      </c>
      <c r="B185" s="2">
        <f>HYPERLINK("https://www.suredividend.com/sure-analysis-research-database/","Aura Biosciences, Inc.")</f>
        <v>0</v>
      </c>
      <c r="C185" s="1" t="s">
        <v>1959</v>
      </c>
      <c r="D185" s="3">
        <v>5.34</v>
      </c>
      <c r="F185" s="4">
        <v>0</v>
      </c>
      <c r="G185" s="3">
        <v>0</v>
      </c>
      <c r="H185" s="5">
        <v>347.997914</v>
      </c>
      <c r="J185" s="4">
        <v>0</v>
      </c>
      <c r="K185" s="7">
        <v>1.9972</v>
      </c>
    </row>
    <row r="186" spans="1:13">
      <c r="A186" s="8" t="s">
        <v>197</v>
      </c>
      <c r="B186" s="2">
        <f>HYPERLINK("https://www.suredividend.com/sure-analysis-AVA/","AVISTA CORP")</f>
        <v>0</v>
      </c>
      <c r="C186" s="1" t="s">
        <v>1967</v>
      </c>
      <c r="D186" s="3">
        <v>40.33</v>
      </c>
      <c r="E186" s="4">
        <v>0.0485990577733697</v>
      </c>
      <c r="F186" s="4">
        <v>0.04697</v>
      </c>
      <c r="G186" s="3">
        <v>1.96</v>
      </c>
      <c r="H186" s="5">
        <v>3281.722355</v>
      </c>
      <c r="I186" s="6">
        <v>17.2722</v>
      </c>
      <c r="J186" s="4">
        <v>0.8263160000000001</v>
      </c>
      <c r="K186" s="7">
        <v>0.2046</v>
      </c>
      <c r="L186" s="3">
        <v>41.6</v>
      </c>
      <c r="M186" s="3">
        <v>33.72</v>
      </c>
    </row>
    <row r="187" spans="1:13">
      <c r="A187" s="8" t="s">
        <v>198</v>
      </c>
      <c r="B187" s="2">
        <f>HYPERLINK("https://www.suredividend.com/sure-analysis-research-database/","Aveanna Healthcare Holdings, Inc.")</f>
        <v>0</v>
      </c>
      <c r="C187" s="1" t="s">
        <v>1959</v>
      </c>
      <c r="D187" s="3">
        <v>8.98</v>
      </c>
      <c r="F187" s="4">
        <v>0</v>
      </c>
      <c r="G187" s="3">
        <v>0</v>
      </c>
      <c r="H187" s="5">
        <v>1878.113333</v>
      </c>
      <c r="I187" s="6">
        <v>24.8882</v>
      </c>
      <c r="J187" s="4">
        <v>0</v>
      </c>
      <c r="K187" s="7">
        <v>1.4324</v>
      </c>
      <c r="L187" s="3">
        <v>10.32</v>
      </c>
      <c r="M187" s="3">
        <v>3.67</v>
      </c>
    </row>
    <row r="188" spans="1:13">
      <c r="A188" s="8" t="s">
        <v>199</v>
      </c>
      <c r="B188" s="2">
        <f>HYPERLINK("https://www.suredividend.com/sure-analysis-research-database/","AeroVironment Inc")</f>
        <v>0</v>
      </c>
      <c r="C188" s="1" t="s">
        <v>1964</v>
      </c>
      <c r="D188" s="3">
        <v>324.48</v>
      </c>
      <c r="F188" s="4">
        <v>0</v>
      </c>
      <c r="G188" s="3">
        <v>0</v>
      </c>
      <c r="H188" s="5">
        <v>15957.808385</v>
      </c>
      <c r="J188" s="4">
        <v>0</v>
      </c>
      <c r="K188" s="7">
        <v>1.3758</v>
      </c>
      <c r="L188" s="3">
        <v>417.86</v>
      </c>
      <c r="M188" s="3">
        <v>102.25</v>
      </c>
    </row>
    <row r="189" spans="1:13">
      <c r="A189" s="8" t="s">
        <v>200</v>
      </c>
      <c r="B189" s="2">
        <f>HYPERLINK("https://www.suredividend.com/sure-analysis-research-database/","Arrivent Biopharma Inc.")</f>
        <v>0</v>
      </c>
      <c r="C189" s="1" t="s">
        <v>1959</v>
      </c>
      <c r="D189" s="3">
        <v>23.47</v>
      </c>
      <c r="F189" s="4">
        <v>0</v>
      </c>
      <c r="G189" s="3">
        <v>0</v>
      </c>
      <c r="K189" s="7">
        <v>1.1672</v>
      </c>
      <c r="L189" s="3">
        <v>29.71</v>
      </c>
      <c r="M189" s="3">
        <v>15.47</v>
      </c>
    </row>
    <row r="190" spans="1:13">
      <c r="A190" s="8" t="s">
        <v>201</v>
      </c>
      <c r="B190" s="2">
        <f>HYPERLINK("https://www.suredividend.com/sure-analysis-research-database/","AMERICAN VANGUARD CORP")</f>
        <v>0</v>
      </c>
      <c r="C190" s="1" t="s">
        <v>1970</v>
      </c>
      <c r="D190" s="3">
        <v>4.94</v>
      </c>
      <c r="F190" s="4">
        <v>0.01867</v>
      </c>
      <c r="G190" s="3">
        <v>0.12</v>
      </c>
      <c r="H190" s="5">
        <v>140.632612</v>
      </c>
      <c r="J190" s="4">
        <v>0</v>
      </c>
      <c r="K190" s="7">
        <v>1.1175</v>
      </c>
      <c r="L190" s="3">
        <v>6.33</v>
      </c>
      <c r="M190" s="3">
        <v>3.28</v>
      </c>
    </row>
    <row r="191" spans="1:13">
      <c r="A191" s="8" t="s">
        <v>202</v>
      </c>
      <c r="B191" s="2">
        <f>HYPERLINK("https://www.suredividend.com/sure-analysis-research-database/","AVADEL PHARMACEUTICALS PLC")</f>
        <v>0</v>
      </c>
      <c r="C191" s="1" t="s">
        <v>1965</v>
      </c>
      <c r="D191" s="3">
        <v>21.52</v>
      </c>
      <c r="F191" s="4">
        <v>0</v>
      </c>
      <c r="G191" s="3">
        <v>0</v>
      </c>
      <c r="H191" s="5">
        <v>2100.594843</v>
      </c>
      <c r="J191" s="4">
        <v>0</v>
      </c>
      <c r="K191" s="7">
        <v>1.2503</v>
      </c>
      <c r="L191" s="3">
        <v>23.57</v>
      </c>
      <c r="M191" s="3">
        <v>6.38</v>
      </c>
    </row>
    <row r="192" spans="1:13">
      <c r="A192" s="8" t="s">
        <v>203</v>
      </c>
      <c r="B192" s="2">
        <f>HYPERLINK("https://www.suredividend.com/sure-analysis-research-database/","AvidXchange Holdings, Inc.")</f>
        <v>0</v>
      </c>
      <c r="C192" s="1" t="s">
        <v>1965</v>
      </c>
      <c r="D192" s="3">
        <v>10.01</v>
      </c>
      <c r="F192" s="4">
        <v>0</v>
      </c>
      <c r="G192" s="3">
        <v>0</v>
      </c>
      <c r="H192" s="5">
        <v>2076.98753</v>
      </c>
      <c r="J192" s="4">
        <v>0</v>
      </c>
      <c r="K192" s="7">
        <v>1.1503</v>
      </c>
    </row>
    <row r="193" spans="1:13">
      <c r="A193" s="8" t="s">
        <v>204</v>
      </c>
      <c r="B193" s="2">
        <f>HYPERLINK("https://www.suredividend.com/sure-analysis-research-database/","Atea Pharmaceuticals, Inc.")</f>
        <v>0</v>
      </c>
      <c r="C193" s="1" t="s">
        <v>1959</v>
      </c>
      <c r="D193" s="3">
        <v>3.515</v>
      </c>
      <c r="F193" s="4">
        <v>0</v>
      </c>
      <c r="G193" s="3">
        <v>0</v>
      </c>
      <c r="H193" s="5">
        <v>275.006322</v>
      </c>
      <c r="J193" s="4">
        <v>0</v>
      </c>
      <c r="K193" s="7">
        <v>0.7166</v>
      </c>
      <c r="L193" s="3">
        <v>4.02</v>
      </c>
      <c r="M193" s="3">
        <v>2.46</v>
      </c>
    </row>
    <row r="194" spans="1:13">
      <c r="A194" s="8" t="s">
        <v>205</v>
      </c>
      <c r="B194" s="2">
        <f>HYPERLINK("https://www.suredividend.com/sure-analysis-research-database/","AVANOS MEDICAL, INC.")</f>
        <v>0</v>
      </c>
      <c r="C194" s="1" t="s">
        <v>1965</v>
      </c>
      <c r="D194" s="3">
        <v>12.94</v>
      </c>
      <c r="F194" s="4">
        <v>0</v>
      </c>
      <c r="G194" s="3">
        <v>0</v>
      </c>
      <c r="H194" s="5">
        <v>596.947144</v>
      </c>
      <c r="J194" s="4">
        <v>0</v>
      </c>
      <c r="K194" s="7">
        <v>1.0527</v>
      </c>
      <c r="L194" s="3">
        <v>17.69</v>
      </c>
      <c r="M194" s="3">
        <v>9.300000000000001</v>
      </c>
    </row>
    <row r="195" spans="1:13">
      <c r="A195" s="8" t="s">
        <v>206</v>
      </c>
      <c r="B195" s="2">
        <f>HYPERLINK("https://www.suredividend.com/sure-analysis-AVNT/","AVIENT CORP")</f>
        <v>0</v>
      </c>
      <c r="C195" s="1" t="s">
        <v>1959</v>
      </c>
      <c r="D195" s="3">
        <v>36.86</v>
      </c>
      <c r="E195" s="4">
        <v>0.02984264785675529</v>
      </c>
      <c r="F195" s="4">
        <v>0.03008</v>
      </c>
      <c r="G195" s="3">
        <v>1.08</v>
      </c>
      <c r="H195" s="5">
        <v>3375.035328</v>
      </c>
      <c r="I195" s="6">
        <v>29.7885</v>
      </c>
      <c r="J195" s="4">
        <v>0.849434</v>
      </c>
      <c r="K195" s="7">
        <v>1.3765</v>
      </c>
      <c r="L195" s="3">
        <v>43.43</v>
      </c>
      <c r="M195" s="3">
        <v>27.2</v>
      </c>
    </row>
    <row r="196" spans="1:13">
      <c r="A196" s="8" t="s">
        <v>207</v>
      </c>
      <c r="B196" s="2">
        <f>HYPERLINK("https://www.suredividend.com/sure-analysis-research-database/","AVIAT NETWORKS, INC.")</f>
        <v>0</v>
      </c>
      <c r="C196" s="1" t="s">
        <v>1960</v>
      </c>
      <c r="D196" s="3">
        <v>21.63</v>
      </c>
      <c r="G196" s="3">
        <v>0</v>
      </c>
      <c r="H196" s="5">
        <v>278.059557</v>
      </c>
      <c r="I196" s="6">
        <v>20.7786</v>
      </c>
      <c r="J196" s="4">
        <v>0</v>
      </c>
    </row>
    <row r="197" spans="1:13">
      <c r="A197" s="8" t="s">
        <v>208</v>
      </c>
      <c r="B197" s="2">
        <f>HYPERLINK("https://www.suredividend.com/sure-analysis-research-database/","Mission Produce, Inc.")</f>
        <v>0</v>
      </c>
      <c r="C197" s="1" t="s">
        <v>1959</v>
      </c>
      <c r="D197" s="3">
        <v>13.2</v>
      </c>
      <c r="G197" s="3">
        <v>0</v>
      </c>
      <c r="H197" s="5">
        <v>925.872063</v>
      </c>
      <c r="I197" s="6">
        <v>24.5589</v>
      </c>
      <c r="J197" s="4">
        <v>0.032099</v>
      </c>
    </row>
    <row r="198" spans="1:13">
      <c r="A198" s="8" t="s">
        <v>209</v>
      </c>
      <c r="B198" s="2">
        <f>HYPERLINK("https://www.suredividend.com/sure-analysis-research-database/","AvePoint, Inc.")</f>
        <v>0</v>
      </c>
      <c r="C198" s="1" t="s">
        <v>1959</v>
      </c>
      <c r="D198" s="3">
        <v>12.515</v>
      </c>
      <c r="G198" s="3">
        <v>0</v>
      </c>
      <c r="H198" s="5">
        <v>2701.682199</v>
      </c>
      <c r="I198" s="6">
        <v>1371.4123</v>
      </c>
      <c r="J198" s="4">
        <v>0</v>
      </c>
    </row>
    <row r="199" spans="1:13">
      <c r="A199" s="8" t="s">
        <v>210</v>
      </c>
      <c r="B199" s="2">
        <f>HYPERLINK("https://www.suredividend.com/sure-analysis-research-database/","Aerovate Therapeutics, Inc.")</f>
        <v>0</v>
      </c>
      <c r="C199" s="1" t="s">
        <v>1959</v>
      </c>
      <c r="D199" s="3">
        <v>15.95</v>
      </c>
      <c r="E199" s="4">
        <v>0.15</v>
      </c>
      <c r="F199" s="4">
        <v>0.03641</v>
      </c>
      <c r="G199" s="3">
        <v>0</v>
      </c>
      <c r="H199" s="5">
        <v>733.3070279999999</v>
      </c>
      <c r="J199" s="4">
        <v>0</v>
      </c>
    </row>
    <row r="200" spans="1:13">
      <c r="A200" s="8" t="s">
        <v>211</v>
      </c>
      <c r="B200" s="2">
        <f>HYPERLINK("https://www.suredividend.com/sure-analysis-research-database/","ANAVEX LIFE SCIENCES CORP.")</f>
        <v>0</v>
      </c>
      <c r="C200" s="1" t="s">
        <v>1965</v>
      </c>
      <c r="D200" s="3">
        <v>5.33</v>
      </c>
      <c r="G200" s="3">
        <v>0</v>
      </c>
      <c r="H200" s="5">
        <v>473.544967</v>
      </c>
      <c r="J200" s="4">
        <v>0</v>
      </c>
    </row>
    <row r="201" spans="1:13">
      <c r="A201" s="8" t="s">
        <v>212</v>
      </c>
      <c r="B201" s="2">
        <f>HYPERLINK("https://www.suredividend.com/sure-analysis-AWR/","AMERICAN STATES WATER CO")</f>
        <v>0</v>
      </c>
      <c r="C201" s="1" t="s">
        <v>1967</v>
      </c>
      <c r="D201" s="3">
        <v>74.53</v>
      </c>
      <c r="E201" s="4">
        <v>0.02710317992754595</v>
      </c>
      <c r="F201" s="4">
        <v>0.02291</v>
      </c>
      <c r="G201" s="3">
        <v>0</v>
      </c>
      <c r="H201" s="5">
        <v>2885.399362</v>
      </c>
      <c r="I201" s="6">
        <v>22.1722</v>
      </c>
      <c r="J201" s="4">
        <v>0.5588689999999999</v>
      </c>
    </row>
    <row r="202" spans="1:13">
      <c r="A202" s="8" t="s">
        <v>213</v>
      </c>
      <c r="B202" s="2">
        <f>HYPERLINK("https://www.suredividend.com/sure-analysis-research-database/","Axos Financial, Inc.")</f>
        <v>0</v>
      </c>
      <c r="C202" s="1" t="s">
        <v>1962</v>
      </c>
      <c r="D202" s="3">
        <v>96.15000000000001</v>
      </c>
      <c r="F202" s="4">
        <v>0</v>
      </c>
      <c r="G202" s="3">
        <v>0</v>
      </c>
      <c r="H202" s="5">
        <v>5447.453672</v>
      </c>
      <c r="I202" s="6">
        <v>12.583</v>
      </c>
      <c r="J202" s="4">
        <v>0</v>
      </c>
      <c r="K202" s="7">
        <v>1.4318</v>
      </c>
    </row>
    <row r="203" spans="1:13">
      <c r="A203" s="8" t="s">
        <v>214</v>
      </c>
      <c r="B203" s="2">
        <f>HYPERLINK("https://www.suredividend.com/sure-analysis-research-database/","Axogen, Inc.")</f>
        <v>0</v>
      </c>
      <c r="C203" s="1" t="s">
        <v>1965</v>
      </c>
      <c r="D203" s="3">
        <v>30.86</v>
      </c>
      <c r="F203" s="4">
        <v>0</v>
      </c>
      <c r="G203" s="3">
        <v>1</v>
      </c>
      <c r="H203" s="5">
        <v>1522.49676</v>
      </c>
      <c r="J203" s="4">
        <v>0</v>
      </c>
      <c r="K203" s="7">
        <v>1.082</v>
      </c>
      <c r="L203" s="3">
        <v>34.71</v>
      </c>
      <c r="M203" s="3">
        <v>9.220000000000001</v>
      </c>
    </row>
    <row r="204" spans="1:13">
      <c r="A204" s="8" t="s">
        <v>215</v>
      </c>
      <c r="B204" s="2">
        <f>HYPERLINK("https://www.suredividend.com/sure-analysis-research-database/","AMERICAN AXLE &amp; MANUFACTURING HOLDINGS INC")</f>
        <v>0</v>
      </c>
      <c r="C204" s="1" t="s">
        <v>1963</v>
      </c>
      <c r="D204" s="3">
        <v>8.425000000000001</v>
      </c>
      <c r="F204" s="4">
        <v>0</v>
      </c>
      <c r="G204" s="3">
        <v>0.34</v>
      </c>
      <c r="H204" s="5">
        <v>1000.610829</v>
      </c>
      <c r="I204" s="6">
        <v>23.8809</v>
      </c>
      <c r="J204" s="4">
        <v>0</v>
      </c>
      <c r="K204" s="7">
        <v>1.6748</v>
      </c>
      <c r="L204" s="3">
        <v>8.630000000000001</v>
      </c>
      <c r="M204" s="3">
        <v>3</v>
      </c>
    </row>
    <row r="205" spans="1:13">
      <c r="A205" s="8" t="s">
        <v>216</v>
      </c>
      <c r="B205" s="2">
        <f>HYPERLINK("https://www.suredividend.com/sure-analysis-research-database/","Axsome Therapeutics, Inc.")</f>
        <v>0</v>
      </c>
      <c r="C205" s="1" t="s">
        <v>1965</v>
      </c>
      <c r="D205" s="3">
        <v>188.6</v>
      </c>
      <c r="F205" s="4">
        <v>0</v>
      </c>
      <c r="G205" s="3">
        <v>0</v>
      </c>
      <c r="H205" s="5">
        <v>9533.030224</v>
      </c>
      <c r="J205" s="4">
        <v>0</v>
      </c>
      <c r="K205" s="7">
        <v>0.8701</v>
      </c>
      <c r="L205" s="3">
        <v>189.34</v>
      </c>
      <c r="M205" s="3">
        <v>86.98999999999999</v>
      </c>
    </row>
    <row r="206" spans="1:13">
      <c r="A206" s="8" t="s">
        <v>217</v>
      </c>
      <c r="B206" s="2">
        <f>HYPERLINK("https://www.suredividend.com/sure-analysis-research-database/","AZZ INC")</f>
        <v>0</v>
      </c>
      <c r="C206" s="1" t="s">
        <v>1964</v>
      </c>
      <c r="D206" s="3">
        <v>126.58</v>
      </c>
      <c r="E206" s="4">
        <v>0.01</v>
      </c>
      <c r="F206" s="4">
        <v>0.00566</v>
      </c>
      <c r="G206" s="3">
        <v>0.74</v>
      </c>
      <c r="H206" s="5">
        <v>3780.025872</v>
      </c>
      <c r="I206" s="6">
        <v>11.7561</v>
      </c>
      <c r="J206" s="4">
        <v>0.068997</v>
      </c>
      <c r="K206" s="7">
        <v>1.2026</v>
      </c>
      <c r="L206" s="3">
        <v>123.6</v>
      </c>
      <c r="M206" s="3">
        <v>70.47</v>
      </c>
    </row>
    <row r="207" spans="1:13">
      <c r="A207" s="8" t="s">
        <v>218</v>
      </c>
      <c r="B207" s="2">
        <f>HYPERLINK("https://www.suredividend.com/sure-analysis-research-database/","BANC OF CALIFORNIA, INC.")</f>
        <v>0</v>
      </c>
      <c r="C207" s="1" t="s">
        <v>1962</v>
      </c>
      <c r="D207" s="3">
        <v>21.05</v>
      </c>
      <c r="E207" s="4">
        <v>0.02</v>
      </c>
      <c r="F207" s="4">
        <v>0.01674</v>
      </c>
      <c r="G207" s="3">
        <v>0.4</v>
      </c>
      <c r="H207" s="5">
        <v>3182.436365</v>
      </c>
      <c r="I207" s="6">
        <v>18.863</v>
      </c>
      <c r="J207" s="4">
        <v>0.515211</v>
      </c>
      <c r="K207" s="7">
        <v>1.21</v>
      </c>
      <c r="L207" s="3">
        <v>21.27</v>
      </c>
      <c r="M207" s="3">
        <v>11.31</v>
      </c>
    </row>
    <row r="208" spans="1:13">
      <c r="A208" s="8" t="s">
        <v>219</v>
      </c>
      <c r="B208" s="2">
        <f>HYPERLINK("https://www.suredividend.com/sure-analysis-research-database/","Bandwidth Inc.")</f>
        <v>0</v>
      </c>
      <c r="C208" s="1" t="s">
        <v>1960</v>
      </c>
      <c r="D208" s="3">
        <v>13.69</v>
      </c>
      <c r="F208" s="4">
        <v>0</v>
      </c>
      <c r="G208" s="3">
        <v>0</v>
      </c>
      <c r="H208" s="5">
        <v>415.703933</v>
      </c>
      <c r="J208" s="4">
        <v>0</v>
      </c>
      <c r="K208" s="7">
        <v>1.8322</v>
      </c>
      <c r="L208" s="3">
        <v>19.88</v>
      </c>
      <c r="M208" s="3">
        <v>11.33</v>
      </c>
    </row>
    <row r="209" spans="1:13">
      <c r="A209" s="8" t="s">
        <v>220</v>
      </c>
      <c r="B209" s="2">
        <f>HYPERLINK("https://www.suredividend.com/sure-analysis-BANF/","BANCFIRST CORP /OK/")</f>
        <v>0</v>
      </c>
      <c r="C209" s="1" t="s">
        <v>1962</v>
      </c>
      <c r="D209" s="3">
        <v>115.05</v>
      </c>
      <c r="E209" s="4">
        <v>0.01651455888744024</v>
      </c>
      <c r="F209" s="4">
        <v>0.01471</v>
      </c>
      <c r="G209" s="3">
        <v>1.9</v>
      </c>
      <c r="H209" s="5">
        <v>3864.763902</v>
      </c>
      <c r="I209" s="6">
        <v>16.2666</v>
      </c>
      <c r="J209" s="4">
        <v>0.257217</v>
      </c>
      <c r="K209" s="7">
        <v>0.7473</v>
      </c>
      <c r="L209" s="3">
        <v>137.61</v>
      </c>
      <c r="M209" s="3">
        <v>95.86</v>
      </c>
    </row>
    <row r="210" spans="1:13">
      <c r="A210" s="8" t="s">
        <v>221</v>
      </c>
      <c r="B210" s="2">
        <f>HYPERLINK("https://www.suredividend.com/sure-analysis-research-database/","BANNER CORP")</f>
        <v>0</v>
      </c>
      <c r="C210" s="1" t="s">
        <v>1962</v>
      </c>
      <c r="D210" s="3">
        <v>66</v>
      </c>
      <c r="E210" s="4">
        <v>0.03</v>
      </c>
      <c r="F210" s="4">
        <v>0.02856</v>
      </c>
      <c r="G210" s="3">
        <v>1.94</v>
      </c>
      <c r="H210" s="5">
        <v>2250.693958</v>
      </c>
      <c r="I210" s="6">
        <v>11.8132</v>
      </c>
      <c r="J210" s="4">
        <v>0.351468</v>
      </c>
      <c r="L210" s="3">
        <v>70.38</v>
      </c>
      <c r="M210" s="3">
        <v>52.73</v>
      </c>
    </row>
    <row r="211" spans="1:13">
      <c r="A211" s="8" t="s">
        <v>222</v>
      </c>
      <c r="B211" s="2">
        <f>HYPERLINK("https://www.suredividend.com/sure-analysis-research-database/","Bark, Inc.")</f>
        <v>0</v>
      </c>
      <c r="C211" s="1" t="s">
        <v>1962</v>
      </c>
      <c r="D211" s="3">
        <v>0.93</v>
      </c>
      <c r="G211" s="3">
        <v>0</v>
      </c>
      <c r="H211" s="5">
        <v>161.039487</v>
      </c>
      <c r="J211" s="4">
        <v>0</v>
      </c>
    </row>
    <row r="212" spans="1:13">
      <c r="A212" s="8" t="s">
        <v>223</v>
      </c>
      <c r="B212" s="2">
        <f>HYPERLINK("https://www.suredividend.com/sure-analysis-research-database/","Couchbase, Inc.")</f>
        <v>0</v>
      </c>
      <c r="C212" s="1" t="s">
        <v>1959</v>
      </c>
      <c r="D212" s="3">
        <v>24.52</v>
      </c>
      <c r="G212" s="3">
        <v>0</v>
      </c>
      <c r="H212" s="5">
        <v>1354.276447</v>
      </c>
      <c r="J212" s="4">
        <v>0</v>
      </c>
    </row>
    <row r="213" spans="1:13">
      <c r="A213" s="8" t="s">
        <v>224</v>
      </c>
      <c r="B213" s="2">
        <f>HYPERLINK("https://www.suredividend.com/sure-analysis-research-database/","Atlanta Braves Holdings, Inc.")</f>
        <v>0</v>
      </c>
      <c r="C213" s="1" t="s">
        <v>1968</v>
      </c>
      <c r="D213" s="3">
        <v>42.45</v>
      </c>
      <c r="G213" s="3">
        <v>0</v>
      </c>
      <c r="H213" s="5">
        <v>2675.499566</v>
      </c>
      <c r="J213" s="4">
        <v>0</v>
      </c>
    </row>
    <row r="214" spans="1:13">
      <c r="A214" s="8" t="s">
        <v>225</v>
      </c>
      <c r="B214" s="2">
        <f>HYPERLINK("https://www.suredividend.com/sure-analysis-research-database/","Atlanta Braves Holdings, Inc.")</f>
        <v>0</v>
      </c>
      <c r="C214" s="1" t="s">
        <v>1968</v>
      </c>
      <c r="D214" s="3">
        <v>39.15</v>
      </c>
      <c r="G214" s="3">
        <v>0</v>
      </c>
      <c r="H214" s="5">
        <v>2675.499566</v>
      </c>
      <c r="J214" s="4">
        <v>0</v>
      </c>
      <c r="L214" s="3">
        <v>47.18</v>
      </c>
      <c r="M214" s="3">
        <v>35.46</v>
      </c>
    </row>
    <row r="215" spans="1:13">
      <c r="A215" s="8" t="s">
        <v>226</v>
      </c>
      <c r="B215" s="2">
        <f>HYPERLINK("https://www.suredividend.com/sure-analysis-research-database/","BigBear.ai Holdings, Inc.")</f>
        <v>0</v>
      </c>
      <c r="C215" s="1" t="s">
        <v>1959</v>
      </c>
      <c r="D215" s="3">
        <v>5.78</v>
      </c>
      <c r="G215" s="3">
        <v>0</v>
      </c>
      <c r="H215" s="5">
        <v>2492.707512</v>
      </c>
      <c r="J215" s="4">
        <v>0</v>
      </c>
    </row>
    <row r="216" spans="1:13">
      <c r="A216" s="8" t="s">
        <v>227</v>
      </c>
      <c r="B216" s="2">
        <f>HYPERLINK("https://www.suredividend.com/sure-analysis-research-database/","Concrete Pumping Holdings, Inc.")</f>
        <v>0</v>
      </c>
      <c r="C216" s="1" t="s">
        <v>1964</v>
      </c>
      <c r="D216" s="3">
        <v>6</v>
      </c>
      <c r="E216" s="4">
        <v>0.17</v>
      </c>
      <c r="F216" s="4">
        <v>0.02793</v>
      </c>
      <c r="G216" s="3">
        <v>0</v>
      </c>
      <c r="H216" s="5">
        <v>305.13243</v>
      </c>
      <c r="I216" s="6">
        <v>66.0031</v>
      </c>
      <c r="J216" s="4">
        <v>8.337047</v>
      </c>
    </row>
    <row r="217" spans="1:13">
      <c r="A217" s="8" t="s">
        <v>228</v>
      </c>
      <c r="B217" s="2">
        <f>HYPERLINK("https://www.suredividend.com/sure-analysis-research-database/","BridgeBio Pharma, Inc.")</f>
        <v>0</v>
      </c>
      <c r="C217" s="1" t="s">
        <v>1965</v>
      </c>
      <c r="D217" s="3">
        <v>78.01000000000001</v>
      </c>
      <c r="G217" s="3">
        <v>0</v>
      </c>
      <c r="H217" s="5">
        <v>15060.193736</v>
      </c>
      <c r="J217" s="4">
        <v>0</v>
      </c>
    </row>
    <row r="218" spans="1:13">
      <c r="A218" s="8" t="s">
        <v>229</v>
      </c>
      <c r="B218" s="2">
        <f>HYPERLINK("https://www.suredividend.com/sure-analysis-research-database/","Beta Bionics, Inc.")</f>
        <v>0</v>
      </c>
      <c r="C218" s="1" t="s">
        <v>1959</v>
      </c>
      <c r="D218" s="3">
        <v>16.58</v>
      </c>
      <c r="G218" s="3">
        <v>0</v>
      </c>
      <c r="H218" s="5">
        <v>718.652079</v>
      </c>
      <c r="J218" s="4">
        <v>0</v>
      </c>
    </row>
    <row r="219" spans="1:13">
      <c r="A219" s="8" t="s">
        <v>230</v>
      </c>
      <c r="B219" s="2">
        <f>HYPERLINK("https://www.suredividend.com/sure-analysis-research-database/","BARRETT BUSINESS SERVICES INC")</f>
        <v>0</v>
      </c>
      <c r="C219" s="1" t="s">
        <v>1964</v>
      </c>
      <c r="D219" s="3">
        <v>37.72</v>
      </c>
      <c r="E219" s="4">
        <v>0.01</v>
      </c>
      <c r="F219" s="4">
        <v>0.00825</v>
      </c>
      <c r="G219" s="3">
        <v>0</v>
      </c>
      <c r="H219" s="5">
        <v>966.56078</v>
      </c>
      <c r="I219" s="6">
        <v>17.6212</v>
      </c>
      <c r="J219" s="4">
        <v>0.150168</v>
      </c>
    </row>
    <row r="220" spans="1:13">
      <c r="A220" s="8" t="s">
        <v>231</v>
      </c>
      <c r="B220" s="2">
        <f>HYPERLINK("https://www.suredividend.com/sure-analysis-research-database/","Brookfield Business Corp")</f>
        <v>0</v>
      </c>
      <c r="C220" s="1" t="s">
        <v>1959</v>
      </c>
      <c r="D220" s="3">
        <v>35.79</v>
      </c>
      <c r="E220" s="4">
        <v>0.01</v>
      </c>
      <c r="F220" s="4">
        <v>0.00507</v>
      </c>
      <c r="G220" s="3">
        <v>0.25</v>
      </c>
      <c r="H220" s="5">
        <v>2615.879686</v>
      </c>
      <c r="K220" s="7">
        <v>1.6922</v>
      </c>
      <c r="L220" s="3">
        <v>37.82</v>
      </c>
      <c r="M220" s="3">
        <v>21.39</v>
      </c>
    </row>
    <row r="221" spans="1:13">
      <c r="A221" s="8" t="s">
        <v>232</v>
      </c>
      <c r="B221" s="2">
        <f>HYPERLINK("https://www.suredividend.com/sure-analysis-research-database/","BUILD-A-BEAR WORKSHOP INC")</f>
        <v>0</v>
      </c>
      <c r="C221" s="1" t="s">
        <v>1963</v>
      </c>
      <c r="D221" s="3">
        <v>65.41</v>
      </c>
      <c r="E221" s="4">
        <v>0.01</v>
      </c>
      <c r="F221" s="4">
        <v>0.01372</v>
      </c>
      <c r="G221" s="3">
        <v>0.88</v>
      </c>
      <c r="H221" s="5">
        <v>846.13873</v>
      </c>
      <c r="I221" s="6">
        <v>14.6523</v>
      </c>
      <c r="J221" s="4">
        <v>0.198208</v>
      </c>
      <c r="K221" s="7">
        <v>0.5776</v>
      </c>
      <c r="L221" s="3">
        <v>75.3</v>
      </c>
      <c r="M221" s="3">
        <v>32.18</v>
      </c>
    </row>
    <row r="222" spans="1:13">
      <c r="A222" s="8" t="s">
        <v>233</v>
      </c>
      <c r="B222" s="2">
        <f>HYPERLINK("https://www.suredividend.com/sure-analysis-research-database/","California BanCorp \ CA")</f>
        <v>0</v>
      </c>
      <c r="C222" s="1" t="s">
        <v>1962</v>
      </c>
      <c r="D222" s="3">
        <v>18.75</v>
      </c>
      <c r="E222" s="4">
        <v>0.01</v>
      </c>
      <c r="F222" s="4">
        <v>0.00104</v>
      </c>
      <c r="G222" s="3">
        <v>0.1</v>
      </c>
      <c r="H222" s="5">
        <v>606.372933</v>
      </c>
      <c r="I222" s="6">
        <v>9.563000000000001</v>
      </c>
      <c r="J222" s="4">
        <v>0</v>
      </c>
      <c r="K222" s="7">
        <v>0.5385</v>
      </c>
      <c r="L222" s="3">
        <v>20.36</v>
      </c>
      <c r="M222" s="3">
        <v>11.81</v>
      </c>
    </row>
    <row r="223" spans="1:13">
      <c r="A223" s="8" t="s">
        <v>234</v>
      </c>
      <c r="B223" s="2">
        <f>HYPERLINK("https://www.suredividend.com/sure-analysis-research-database/","Bicara Therapeutics Inc.")</f>
        <v>0</v>
      </c>
      <c r="C223" s="1" t="s">
        <v>1959</v>
      </c>
      <c r="D223" s="3">
        <v>16.96</v>
      </c>
      <c r="F223" s="4">
        <v>0</v>
      </c>
      <c r="G223" s="3">
        <v>0</v>
      </c>
      <c r="H223" s="5">
        <v>925.948772</v>
      </c>
      <c r="J223" s="4">
        <v>0</v>
      </c>
      <c r="K223" s="7">
        <v>1.4128</v>
      </c>
      <c r="L223" s="3">
        <v>19.71</v>
      </c>
      <c r="M223" s="3">
        <v>7.8</v>
      </c>
    </row>
    <row r="224" spans="1:13">
      <c r="A224" s="8" t="s">
        <v>235</v>
      </c>
      <c r="B224" s="2">
        <f>HYPERLINK("https://www.suredividend.com/sure-analysis-research-database/","BCB BANCORP INC")</f>
        <v>0</v>
      </c>
      <c r="C224" s="1" t="s">
        <v>1962</v>
      </c>
      <c r="D224" s="3">
        <v>7.83</v>
      </c>
      <c r="E224" s="4">
        <v>0.08</v>
      </c>
      <c r="F224" s="4">
        <v>0.07840999999999999</v>
      </c>
      <c r="G224" s="3">
        <v>0.64</v>
      </c>
      <c r="H224" s="5">
        <v>134.896853</v>
      </c>
      <c r="I224" s="6">
        <v>158.144</v>
      </c>
      <c r="J224" s="4">
        <v>4.515862</v>
      </c>
      <c r="K224" s="7">
        <v>0.7943</v>
      </c>
      <c r="L224" s="3">
        <v>11.39</v>
      </c>
      <c r="M224" s="3">
        <v>7.25</v>
      </c>
    </row>
    <row r="225" spans="1:13">
      <c r="A225" s="8" t="s">
        <v>236</v>
      </c>
      <c r="B225" s="2">
        <f>HYPERLINK("https://www.suredividend.com/sure-analysis-BCC/","BOISE CASCADE Co")</f>
        <v>0</v>
      </c>
      <c r="C225" s="1" t="s">
        <v>1970</v>
      </c>
      <c r="D225" s="3">
        <v>85.03</v>
      </c>
      <c r="E225" s="4">
        <v>0.01034928848641656</v>
      </c>
      <c r="F225" s="4">
        <v>0.03373</v>
      </c>
      <c r="G225" s="3">
        <v>0.86</v>
      </c>
      <c r="H225" s="5">
        <v>3149.031636</v>
      </c>
      <c r="I225" s="6">
        <v>16.3161</v>
      </c>
      <c r="J225" s="4">
        <v>0.180884</v>
      </c>
      <c r="K225" s="7">
        <v>1.1317</v>
      </c>
      <c r="L225" s="3">
        <v>129.23</v>
      </c>
      <c r="M225" s="3">
        <v>64.95</v>
      </c>
    </row>
    <row r="226" spans="1:13">
      <c r="A226" s="8" t="s">
        <v>237</v>
      </c>
      <c r="B226" s="2">
        <f>HYPERLINK("https://www.suredividend.com/sure-analysis-research-database/","BayCom Corp")</f>
        <v>0</v>
      </c>
      <c r="C226" s="1" t="s">
        <v>1962</v>
      </c>
      <c r="D226" s="3">
        <v>29.47</v>
      </c>
      <c r="E226" s="4">
        <v>0.03</v>
      </c>
      <c r="F226" s="4">
        <v>0.01454</v>
      </c>
      <c r="G226" s="3">
        <v>0.9</v>
      </c>
      <c r="H226" s="5">
        <v>325.08027</v>
      </c>
      <c r="I226" s="6">
        <v>14.0163</v>
      </c>
      <c r="J226" s="4">
        <v>0.164317</v>
      </c>
      <c r="K226" s="7">
        <v>0.7136</v>
      </c>
      <c r="L226" s="3">
        <v>33.15</v>
      </c>
      <c r="M226" s="3">
        <v>21.66</v>
      </c>
    </row>
    <row r="227" spans="1:13">
      <c r="A227" s="8" t="s">
        <v>238</v>
      </c>
      <c r="B227" s="2">
        <f>HYPERLINK("https://www.suredividend.com/sure-analysis-BCO/","BRINKS CO")</f>
        <v>0</v>
      </c>
      <c r="C227" s="1" t="s">
        <v>1964</v>
      </c>
      <c r="D227" s="3">
        <v>125.67</v>
      </c>
      <c r="E227" s="4">
        <v>0.00811649558367152</v>
      </c>
      <c r="F227" s="4">
        <v>0.00705</v>
      </c>
      <c r="G227" s="3">
        <v>1.01</v>
      </c>
      <c r="H227" s="5">
        <v>5221.854649</v>
      </c>
      <c r="I227" s="6">
        <v>30.6987</v>
      </c>
      <c r="J227" s="4">
        <v>0.298275</v>
      </c>
      <c r="K227" s="7">
        <v>0.842</v>
      </c>
      <c r="L227" s="3">
        <v>127.19</v>
      </c>
      <c r="M227" s="3">
        <v>79.56999999999999</v>
      </c>
    </row>
    <row r="228" spans="1:13">
      <c r="A228" s="8" t="s">
        <v>239</v>
      </c>
      <c r="B228" s="2">
        <f>HYPERLINK("https://www.suredividend.com/sure-analysis-BCPC/","BALCHEM CORP")</f>
        <v>0</v>
      </c>
      <c r="C228" s="1" t="s">
        <v>1970</v>
      </c>
      <c r="D228" s="3">
        <v>169.35</v>
      </c>
      <c r="E228" s="4">
        <v>0.00566873339238264</v>
      </c>
      <c r="F228" s="4">
        <v>0.00386</v>
      </c>
      <c r="G228" s="3">
        <v>0</v>
      </c>
      <c r="H228" s="5">
        <v>5471.658627</v>
      </c>
      <c r="I228" s="6">
        <v>36.6726</v>
      </c>
      <c r="J228" s="4">
        <v>0.18954</v>
      </c>
      <c r="L228" s="3">
        <v>177.4</v>
      </c>
      <c r="M228" s="3">
        <v>139.17</v>
      </c>
    </row>
    <row r="229" spans="1:13">
      <c r="A229" s="8" t="s">
        <v>240</v>
      </c>
      <c r="B229" s="2">
        <f>HYPERLINK("https://www.suredividend.com/sure-analysis-research-database/","BIOCRYST PHARMACEUTICALS INC")</f>
        <v>0</v>
      </c>
      <c r="C229" s="1" t="s">
        <v>1965</v>
      </c>
      <c r="D229" s="3">
        <v>6.71</v>
      </c>
      <c r="G229" s="3">
        <v>0</v>
      </c>
      <c r="H229" s="5">
        <v>1414.850465</v>
      </c>
      <c r="J229" s="4">
        <v>0</v>
      </c>
    </row>
    <row r="230" spans="1:13">
      <c r="A230" s="8" t="s">
        <v>241</v>
      </c>
      <c r="B230" s="2">
        <f>HYPERLINK("https://www.suredividend.com/sure-analysis-research-database/","BELDEN INC.")</f>
        <v>0</v>
      </c>
      <c r="C230" s="1" t="s">
        <v>1964</v>
      </c>
      <c r="D230" s="3">
        <v>118.73</v>
      </c>
      <c r="F230" s="4">
        <v>0.00174</v>
      </c>
      <c r="G230" s="3">
        <v>0</v>
      </c>
      <c r="H230" s="5">
        <v>4666.506817</v>
      </c>
      <c r="I230" s="6">
        <v>20.4656</v>
      </c>
      <c r="J230" s="4">
        <v>0.035559</v>
      </c>
    </row>
    <row r="231" spans="1:13">
      <c r="A231" s="8" t="s">
        <v>242</v>
      </c>
      <c r="B231" s="2">
        <f>HYPERLINK("https://www.suredividend.com/sure-analysis-research-database/","BRANDYWINE REALTY TRUST")</f>
        <v>0</v>
      </c>
      <c r="C231" s="1" t="s">
        <v>1961</v>
      </c>
      <c r="D231" s="3">
        <v>3.11</v>
      </c>
      <c r="E231" s="4">
        <v>0.15</v>
      </c>
      <c r="F231" s="4">
        <v>0.23356</v>
      </c>
      <c r="G231" s="3">
        <v>0</v>
      </c>
      <c r="H231" s="5">
        <v>540.204011</v>
      </c>
      <c r="L231" s="3">
        <v>4.95</v>
      </c>
      <c r="M231" s="3">
        <v>2.75</v>
      </c>
    </row>
    <row r="232" spans="1:13">
      <c r="A232" s="8" t="s">
        <v>243</v>
      </c>
      <c r="B232" s="2">
        <f>HYPERLINK("https://www.suredividend.com/sure-analysis-research-database/","Black Diamond Therapeutics, Inc.")</f>
        <v>0</v>
      </c>
      <c r="C232" s="1" t="s">
        <v>1965</v>
      </c>
      <c r="D232" s="3">
        <v>2.61</v>
      </c>
      <c r="G232" s="3">
        <v>0</v>
      </c>
      <c r="H232" s="5">
        <v>146.425526</v>
      </c>
      <c r="I232" s="6">
        <v>6.8111</v>
      </c>
      <c r="J232" s="4">
        <v>0</v>
      </c>
    </row>
    <row r="233" spans="1:13">
      <c r="A233" s="8" t="s">
        <v>244</v>
      </c>
      <c r="B233" s="2">
        <f>HYPERLINK("https://www.suredividend.com/sure-analysis-research-database/","Bloom Energy Corp")</f>
        <v>0</v>
      </c>
      <c r="C233" s="1" t="s">
        <v>1964</v>
      </c>
      <c r="D233" s="3">
        <v>154.44</v>
      </c>
      <c r="G233" s="3">
        <v>0</v>
      </c>
      <c r="H233" s="5">
        <v>35609.059273</v>
      </c>
      <c r="J233" s="4">
        <v>0.057079</v>
      </c>
      <c r="L233" s="3">
        <v>155.31</v>
      </c>
      <c r="M233" s="3">
        <v>15.15</v>
      </c>
    </row>
    <row r="234" spans="1:13">
      <c r="A234" s="8" t="s">
        <v>245</v>
      </c>
      <c r="B234" s="2">
        <f>HYPERLINK("https://www.suredividend.com/sure-analysis-research-database/","Beam Therapeutics Inc.")</f>
        <v>0</v>
      </c>
      <c r="C234" s="1" t="s">
        <v>1965</v>
      </c>
      <c r="D234" s="3">
        <v>31.55</v>
      </c>
      <c r="G234" s="3">
        <v>0</v>
      </c>
      <c r="H234" s="5">
        <v>3157.900257</v>
      </c>
      <c r="J234" s="4">
        <v>0</v>
      </c>
      <c r="L234" s="3">
        <v>36.44</v>
      </c>
      <c r="M234" s="3">
        <v>13.53</v>
      </c>
    </row>
    <row r="235" spans="1:13">
      <c r="A235" s="8" t="s">
        <v>246</v>
      </c>
      <c r="B235" s="2">
        <f>HYPERLINK("https://www.suredividend.com/sure-analysis-research-database/","BEACON ROOFING SUPPLY INC")</f>
        <v>0</v>
      </c>
      <c r="C235" s="1" t="s">
        <v>1964</v>
      </c>
      <c r="D235" s="3">
        <v>0.04</v>
      </c>
      <c r="G235" s="3">
        <v>0</v>
      </c>
      <c r="H235" s="5">
        <v>7718.62487</v>
      </c>
      <c r="I235" s="6">
        <v>24.6601</v>
      </c>
      <c r="J235" s="4">
        <v>0</v>
      </c>
    </row>
    <row r="236" spans="1:13">
      <c r="A236" s="8" t="s">
        <v>247</v>
      </c>
      <c r="B236" s="2">
        <f>HYPERLINK("https://www.suredividend.com/sure-analysis-research-database/","BEL FUSE INC /NJ")</f>
        <v>0</v>
      </c>
      <c r="C236" s="1" t="s">
        <v>1960</v>
      </c>
      <c r="D236" s="3">
        <v>186.6</v>
      </c>
      <c r="F236" s="4">
        <v>0.00127</v>
      </c>
      <c r="G236" s="3">
        <v>0</v>
      </c>
      <c r="H236" s="5">
        <v>2367.525281</v>
      </c>
      <c r="I236" s="6">
        <v>36.3201</v>
      </c>
      <c r="J236" s="4">
        <v>0.046692</v>
      </c>
    </row>
    <row r="237" spans="1:13">
      <c r="A237" s="8" t="s">
        <v>248</v>
      </c>
      <c r="B237" s="2">
        <f>HYPERLINK("https://www.suredividend.com/sure-analysis-research-database/","BEL FUSE INC /NJ")</f>
        <v>0</v>
      </c>
      <c r="C237" s="1" t="s">
        <v>1960</v>
      </c>
      <c r="D237" s="3">
        <v>202.22</v>
      </c>
      <c r="F237" s="4">
        <v>0.00155</v>
      </c>
      <c r="G237" s="3">
        <v>0.28</v>
      </c>
      <c r="H237" s="5">
        <v>2367.525281</v>
      </c>
      <c r="I237" s="6">
        <v>36.3201</v>
      </c>
      <c r="J237" s="4">
        <v>0.046692</v>
      </c>
      <c r="K237" s="7">
        <v>1.4237</v>
      </c>
    </row>
    <row r="238" spans="1:13">
      <c r="A238" s="8" t="s">
        <v>249</v>
      </c>
      <c r="B238" s="2">
        <f>HYPERLINK("https://www.suredividend.com/sure-analysis-BFC/","Bank First Corp")</f>
        <v>0</v>
      </c>
      <c r="C238" s="1" t="s">
        <v>1962</v>
      </c>
      <c r="D238" s="3">
        <v>135.24</v>
      </c>
      <c r="E238" s="4">
        <v>0.01330967169476486</v>
      </c>
      <c r="F238" s="4">
        <v>0.01605</v>
      </c>
      <c r="G238" s="3">
        <v>5.3</v>
      </c>
      <c r="H238" s="5">
        <v>1334.414564</v>
      </c>
      <c r="I238" s="6">
        <v>18.8887</v>
      </c>
      <c r="J238" s="4">
        <v>0.74368</v>
      </c>
      <c r="K238" s="7">
        <v>0.7549</v>
      </c>
      <c r="L238" s="3">
        <v>139.22</v>
      </c>
      <c r="M238" s="3">
        <v>89.23999999999999</v>
      </c>
    </row>
    <row r="239" spans="1:13">
      <c r="A239" s="8" t="s">
        <v>250</v>
      </c>
      <c r="B239" s="2">
        <f>HYPERLINK("https://www.suredividend.com/sure-analysis-research-database/","BREAD FINANCIAL HOLDINGS, INC.")</f>
        <v>0</v>
      </c>
      <c r="C239" s="1" t="s">
        <v>1959</v>
      </c>
      <c r="D239" s="3">
        <v>70.51000000000001</v>
      </c>
      <c r="E239" s="4">
        <v>0.01</v>
      </c>
      <c r="F239" s="4">
        <v>0.01021</v>
      </c>
      <c r="G239" s="3">
        <v>0.86</v>
      </c>
      <c r="H239" s="5">
        <v>3218.686254</v>
      </c>
      <c r="I239" s="6">
        <v>6.8048</v>
      </c>
      <c r="J239" s="4">
        <v>0.088795</v>
      </c>
      <c r="K239" s="7">
        <v>1.3731</v>
      </c>
      <c r="L239" s="3">
        <v>82.03</v>
      </c>
      <c r="M239" s="3">
        <v>37.78</v>
      </c>
    </row>
    <row r="240" spans="1:13">
      <c r="A240" s="8" t="s">
        <v>251</v>
      </c>
      <c r="B240" s="2">
        <f>HYPERLINK("https://www.suredividend.com/sure-analysis-research-database/","SAUL CENTERS, INC.")</f>
        <v>0</v>
      </c>
      <c r="C240" s="1" t="s">
        <v>1961</v>
      </c>
      <c r="D240" s="3">
        <v>31.77</v>
      </c>
      <c r="E240" s="4">
        <v>0.07000000000000001</v>
      </c>
      <c r="F240" s="4">
        <v>0.07129000000000001</v>
      </c>
      <c r="G240" s="3">
        <v>2.36</v>
      </c>
      <c r="H240" s="5">
        <v>776.555708</v>
      </c>
      <c r="I240" s="6">
        <v>27.8295</v>
      </c>
      <c r="J240" s="4">
        <v>1.339548</v>
      </c>
      <c r="K240" s="7">
        <v>0.6709000000000001</v>
      </c>
      <c r="L240" s="3">
        <v>35.23</v>
      </c>
      <c r="M240" s="3">
        <v>28.63</v>
      </c>
    </row>
    <row r="241" spans="1:13">
      <c r="A241" s="8" t="s">
        <v>252</v>
      </c>
      <c r="B241" s="2">
        <f>HYPERLINK("https://www.suredividend.com/sure-analysis-BFST/","Business First Bancshares, Inc.")</f>
        <v>0</v>
      </c>
      <c r="C241" s="1" t="s">
        <v>1962</v>
      </c>
      <c r="D241" s="3">
        <v>28.22</v>
      </c>
      <c r="E241" s="4">
        <v>0.02126151665485471</v>
      </c>
      <c r="F241" s="4">
        <v>0.01927</v>
      </c>
      <c r="G241" s="3">
        <v>0.57</v>
      </c>
      <c r="H241" s="5">
        <v>835.4495879999999</v>
      </c>
      <c r="I241" s="6">
        <v>10.9082</v>
      </c>
      <c r="J241" s="4">
        <v>0.267984</v>
      </c>
      <c r="K241" s="7">
        <v>1.0235</v>
      </c>
      <c r="L241" s="3">
        <v>28.46</v>
      </c>
      <c r="M241" s="3">
        <v>19.72</v>
      </c>
    </row>
    <row r="242" spans="1:13">
      <c r="A242" s="8" t="s">
        <v>253</v>
      </c>
      <c r="B242" s="2">
        <f>HYPERLINK("https://www.suredividend.com/sure-analysis-research-database/","BGC Group, Inc.")</f>
        <v>0</v>
      </c>
      <c r="C242" s="1" t="s">
        <v>1959</v>
      </c>
      <c r="D242" s="3">
        <v>9.09</v>
      </c>
      <c r="E242" s="4">
        <v>0.01</v>
      </c>
      <c r="F242" s="4">
        <v>0.00385</v>
      </c>
      <c r="G242" s="3">
        <v>0.08</v>
      </c>
      <c r="H242" s="5">
        <v>4265.605026</v>
      </c>
      <c r="I242" s="6">
        <v>25.7283</v>
      </c>
      <c r="J242" s="4">
        <v>0.248621</v>
      </c>
      <c r="K242" s="7">
        <v>0.518</v>
      </c>
      <c r="L242" s="3">
        <v>10.91</v>
      </c>
      <c r="M242" s="3">
        <v>7.19</v>
      </c>
    </row>
    <row r="243" spans="1:13">
      <c r="A243" s="8" t="s">
        <v>254</v>
      </c>
      <c r="B243" s="2">
        <f>HYPERLINK("https://www.suredividend.com/sure-analysis-research-database/","B&amp;G Foods, Inc.")</f>
        <v>0</v>
      </c>
      <c r="C243" s="1" t="s">
        <v>1966</v>
      </c>
      <c r="D243" s="3">
        <v>4.21</v>
      </c>
      <c r="E243" s="4">
        <v>0.18</v>
      </c>
      <c r="F243" s="4">
        <v>0.27928</v>
      </c>
      <c r="G243" s="3">
        <v>0.76</v>
      </c>
      <c r="H243" s="5">
        <v>336.703381</v>
      </c>
      <c r="K243" s="7">
        <v>0.2868</v>
      </c>
      <c r="L243" s="3">
        <v>6.87</v>
      </c>
      <c r="M243" s="3">
        <v>3.37</v>
      </c>
    </row>
    <row r="244" spans="1:13">
      <c r="A244" s="8" t="s">
        <v>255</v>
      </c>
      <c r="B244" s="2">
        <f>HYPERLINK("https://www.suredividend.com/sure-analysis-research-database/","Biglari Holdings Inc.")</f>
        <v>0</v>
      </c>
      <c r="C244" s="1" t="s">
        <v>1963</v>
      </c>
      <c r="D244" s="3">
        <v>479.3</v>
      </c>
      <c r="F244" s="4">
        <v>0</v>
      </c>
      <c r="G244" s="3">
        <v>0</v>
      </c>
      <c r="H244" s="5">
        <v>1496.079752</v>
      </c>
      <c r="I244" s="6">
        <v>715.1433</v>
      </c>
      <c r="J244" s="4">
        <v>0</v>
      </c>
      <c r="K244" s="7">
        <v>0.5128</v>
      </c>
      <c r="L244" s="3">
        <v>477</v>
      </c>
      <c r="M244" s="3">
        <v>195.05</v>
      </c>
    </row>
    <row r="245" spans="1:13">
      <c r="A245" s="8" t="s">
        <v>256</v>
      </c>
      <c r="B245" s="2">
        <f>HYPERLINK("https://www.suredividend.com/sure-analysis-BHB/","BAR HARBOR BANKSHARES")</f>
        <v>0</v>
      </c>
      <c r="C245" s="1" t="s">
        <v>1962</v>
      </c>
      <c r="D245" s="3">
        <v>34.18</v>
      </c>
      <c r="E245" s="4">
        <v>0.03744880046811001</v>
      </c>
      <c r="F245" s="4">
        <v>0.03484</v>
      </c>
      <c r="G245" s="3">
        <v>1.26</v>
      </c>
      <c r="H245" s="5">
        <v>570.415425</v>
      </c>
      <c r="I245" s="6">
        <v>15.7761</v>
      </c>
      <c r="J245" s="4">
        <v>0.541057</v>
      </c>
      <c r="L245" s="3">
        <v>33.92</v>
      </c>
      <c r="M245" s="3">
        <v>25.62</v>
      </c>
    </row>
    <row r="246" spans="1:13">
      <c r="A246" s="8" t="s">
        <v>257</v>
      </c>
      <c r="B246" s="2">
        <f>HYPERLINK("https://www.suredividend.com/sure-analysis-research-database/","BENCHMARK ELECTRONICS INC")</f>
        <v>0</v>
      </c>
      <c r="C246" s="1" t="s">
        <v>1960</v>
      </c>
      <c r="D246" s="3">
        <v>51.58</v>
      </c>
      <c r="E246" s="4">
        <v>0.01</v>
      </c>
      <c r="F246" s="4">
        <v>0.01491</v>
      </c>
      <c r="G246" s="3">
        <v>0</v>
      </c>
      <c r="H246" s="5">
        <v>1839.605889</v>
      </c>
      <c r="I246" s="6">
        <v>49.3165</v>
      </c>
      <c r="J246" s="4">
        <v>0.656238</v>
      </c>
    </row>
    <row r="247" spans="1:13">
      <c r="A247" s="8" t="s">
        <v>258</v>
      </c>
      <c r="B247" s="2">
        <f>HYPERLINK("https://www.suredividend.com/sure-analysis-research-database/","")</f>
        <v>0</v>
      </c>
      <c r="C247" s="1" t="s">
        <v>1962</v>
      </c>
      <c r="D247" s="3">
        <v>28.85</v>
      </c>
      <c r="E247" s="4">
        <v>0.03</v>
      </c>
      <c r="F247" s="4">
        <v>0.02424</v>
      </c>
      <c r="G247" s="3">
        <v>0</v>
      </c>
      <c r="H247" s="5">
        <v>2419.931551</v>
      </c>
      <c r="I247" s="6">
        <v>21.0031</v>
      </c>
      <c r="J247" s="4">
        <v>0.269029</v>
      </c>
    </row>
    <row r="248" spans="1:13">
      <c r="A248" s="8" t="s">
        <v>259</v>
      </c>
      <c r="B248" s="2">
        <f>HYPERLINK("https://www.suredividend.com/sure-analysis-research-database/","Braemar Hotels &amp; Resorts Inc.")</f>
        <v>0</v>
      </c>
      <c r="C248" s="1" t="s">
        <v>1961</v>
      </c>
      <c r="D248" s="3">
        <v>3.005</v>
      </c>
      <c r="E248" s="4">
        <v>0.07000000000000001</v>
      </c>
      <c r="F248" s="4">
        <v>0.0469</v>
      </c>
      <c r="G248" s="3">
        <v>0</v>
      </c>
      <c r="H248" s="5">
        <v>205.34049</v>
      </c>
      <c r="L248" s="3">
        <v>3.19</v>
      </c>
      <c r="M248" s="3">
        <v>1.7</v>
      </c>
    </row>
    <row r="249" spans="1:13">
      <c r="A249" s="8" t="s">
        <v>260</v>
      </c>
      <c r="B249" s="2">
        <f>HYPERLINK("https://www.suredividend.com/sure-analysis-research-database/","Burke &amp; Herbert Financial Services Corp.")</f>
        <v>0</v>
      </c>
      <c r="C249" s="1" t="s">
        <v>1962</v>
      </c>
      <c r="D249" s="3">
        <v>66</v>
      </c>
      <c r="E249" s="4">
        <v>0.03</v>
      </c>
      <c r="F249" s="4">
        <v>0.01899</v>
      </c>
      <c r="G249" s="3">
        <v>0</v>
      </c>
      <c r="H249" s="5">
        <v>992.032869</v>
      </c>
      <c r="I249" s="6">
        <v>9.3628</v>
      </c>
      <c r="J249" s="4">
        <v>0.317112</v>
      </c>
    </row>
    <row r="250" spans="1:13">
      <c r="A250" s="8" t="s">
        <v>261</v>
      </c>
      <c r="B250" s="2">
        <f>HYPERLINK("https://www.suredividend.com/sure-analysis-research-database/","Biohaven Ltd.")</f>
        <v>0</v>
      </c>
      <c r="C250" s="1" t="s">
        <v>1965</v>
      </c>
      <c r="D250" s="3">
        <v>13.28</v>
      </c>
      <c r="G250" s="3">
        <v>0</v>
      </c>
      <c r="H250" s="5">
        <v>877.2318</v>
      </c>
      <c r="J250" s="4">
        <v>0</v>
      </c>
      <c r="L250" s="3">
        <v>44.28</v>
      </c>
      <c r="M250" s="3">
        <v>7.48</v>
      </c>
    </row>
    <row r="251" spans="1:13">
      <c r="A251" s="8" t="s">
        <v>262</v>
      </c>
      <c r="B251" s="2">
        <f>HYPERLINK("https://www.suredividend.com/sure-analysis-research-database/","BigCommerce Holdings Inc.")</f>
        <v>0</v>
      </c>
      <c r="C251" s="1" t="s">
        <v>1959</v>
      </c>
      <c r="D251" s="3">
        <v>3.335</v>
      </c>
      <c r="G251" s="3">
        <v>0</v>
      </c>
      <c r="H251" s="5">
        <v>271.419576</v>
      </c>
      <c r="J251" s="4">
        <v>0</v>
      </c>
      <c r="L251" s="3">
        <v>7.5</v>
      </c>
      <c r="M251" s="3">
        <v>3.36</v>
      </c>
    </row>
    <row r="252" spans="1:13">
      <c r="A252" s="8" t="s">
        <v>263</v>
      </c>
      <c r="B252" s="2">
        <f>HYPERLINK("https://www.suredividend.com/sure-analysis-research-database/","BioAge Labs, Inc.")</f>
        <v>0</v>
      </c>
      <c r="C252" s="1" t="s">
        <v>1959</v>
      </c>
      <c r="D252" s="3">
        <v>20.52</v>
      </c>
      <c r="G252" s="3">
        <v>0</v>
      </c>
      <c r="H252" s="5">
        <v>721.302744</v>
      </c>
      <c r="J252" s="4">
        <v>0</v>
      </c>
    </row>
    <row r="253" spans="1:13">
      <c r="A253" s="8" t="s">
        <v>264</v>
      </c>
      <c r="B253" s="2">
        <f>HYPERLINK("https://www.suredividend.com/sure-analysis-research-database/","Brookfield Infrastructure Corp")</f>
        <v>0</v>
      </c>
      <c r="C253" s="1" t="s">
        <v>1962</v>
      </c>
      <c r="D253" s="3">
        <v>45.5</v>
      </c>
      <c r="E253" s="4">
        <v>0.04</v>
      </c>
      <c r="F253" s="4">
        <v>0.00776</v>
      </c>
      <c r="G253" s="3">
        <v>0</v>
      </c>
      <c r="H253" s="5">
        <v>5396.299034</v>
      </c>
      <c r="I253" s="6">
        <v>12.6082</v>
      </c>
      <c r="J253" s="4">
        <v>10.944444</v>
      </c>
    </row>
    <row r="254" spans="1:13">
      <c r="A254" s="8" t="s">
        <v>265</v>
      </c>
      <c r="B254" s="2">
        <f>HYPERLINK("https://www.suredividend.com/sure-analysis-research-database/","BJ's Restaurants, Inc.")</f>
        <v>0</v>
      </c>
      <c r="C254" s="1" t="s">
        <v>1963</v>
      </c>
      <c r="D254" s="3">
        <v>44.76</v>
      </c>
      <c r="F254" s="4">
        <v>0</v>
      </c>
      <c r="G254" s="3">
        <v>0.5</v>
      </c>
      <c r="H254" s="5">
        <v>945.358754</v>
      </c>
      <c r="K254" s="7">
        <v>1.2029</v>
      </c>
      <c r="L254" s="3">
        <v>47.02</v>
      </c>
      <c r="M254" s="3">
        <v>28.46</v>
      </c>
    </row>
    <row r="255" spans="1:13">
      <c r="A255" s="8" t="s">
        <v>266</v>
      </c>
      <c r="B255" s="2">
        <f>HYPERLINK("https://www.suredividend.com/sure-analysis-research-database/","Brookdale Senior Living Inc.")</f>
        <v>0</v>
      </c>
      <c r="C255" s="1" t="s">
        <v>1965</v>
      </c>
      <c r="D255" s="3">
        <v>12.73</v>
      </c>
      <c r="F255" s="4">
        <v>0</v>
      </c>
      <c r="G255" s="3">
        <v>1.25</v>
      </c>
      <c r="H255" s="5">
        <v>2982.57517</v>
      </c>
      <c r="J255" s="4">
        <v>0</v>
      </c>
      <c r="K255" s="7">
        <v>0.5302</v>
      </c>
      <c r="L255" s="3">
        <v>12.6</v>
      </c>
      <c r="M255" s="3">
        <v>4.45</v>
      </c>
    </row>
    <row r="256" spans="1:13">
      <c r="A256" s="8" t="s">
        <v>267</v>
      </c>
      <c r="B256" s="2">
        <f>HYPERLINK("https://www.suredividend.com/sure-analysis-research-database/","BUCKLE INC")</f>
        <v>0</v>
      </c>
      <c r="C256" s="1" t="s">
        <v>1963</v>
      </c>
      <c r="D256" s="3">
        <v>55.39</v>
      </c>
      <c r="E256" s="4">
        <v>0.08</v>
      </c>
      <c r="F256" s="4">
        <v>0.03269</v>
      </c>
      <c r="G256" s="3">
        <v>4.4</v>
      </c>
      <c r="H256" s="5">
        <v>2834.588647</v>
      </c>
      <c r="I256" s="6">
        <v>13.7537</v>
      </c>
      <c r="J256" s="4">
        <v>0.962746</v>
      </c>
      <c r="K256" s="7">
        <v>0.7732</v>
      </c>
      <c r="L256" s="3">
        <v>57.6</v>
      </c>
      <c r="M256" s="3">
        <v>30.4</v>
      </c>
    </row>
    <row r="257" spans="1:13">
      <c r="A257" s="8" t="s">
        <v>268</v>
      </c>
      <c r="B257" s="2">
        <f>HYPERLINK("https://www.suredividend.com/sure-analysis-BKH/","BLACK HILLS CORP /SD/")</f>
        <v>0</v>
      </c>
      <c r="C257" s="1" t="s">
        <v>1967</v>
      </c>
      <c r="D257" s="3">
        <v>73.25</v>
      </c>
      <c r="E257" s="4">
        <v>0.03686006825938567</v>
      </c>
      <c r="F257" s="4">
        <v>0.03513</v>
      </c>
      <c r="G257" s="3">
        <v>2.7</v>
      </c>
      <c r="H257" s="5">
        <v>5530.690019</v>
      </c>
      <c r="I257" s="6">
        <v>19.4264</v>
      </c>
      <c r="J257" s="4">
        <v>0.696337</v>
      </c>
      <c r="K257" s="7">
        <v>0.4194</v>
      </c>
      <c r="L257" s="3">
        <v>74.02</v>
      </c>
      <c r="M257" s="3">
        <v>53.17</v>
      </c>
    </row>
    <row r="258" spans="1:13">
      <c r="A258" s="8" t="s">
        <v>269</v>
      </c>
      <c r="B258" s="2">
        <f>HYPERLINK("https://www.suredividend.com/sure-analysis-research-database/","BlackSky Technology Inc.")</f>
        <v>0</v>
      </c>
      <c r="C258" s="1" t="s">
        <v>1959</v>
      </c>
      <c r="D258" s="3">
        <v>25.8</v>
      </c>
      <c r="F258" s="4">
        <v>0</v>
      </c>
      <c r="G258" s="3">
        <v>0</v>
      </c>
      <c r="H258" s="5">
        <v>910.612679</v>
      </c>
      <c r="J258" s="4">
        <v>0</v>
      </c>
      <c r="K258" s="7">
        <v>2.2518</v>
      </c>
      <c r="L258" s="3">
        <v>33.2</v>
      </c>
      <c r="M258" s="3">
        <v>6.15</v>
      </c>
    </row>
    <row r="259" spans="1:13">
      <c r="A259" s="8" t="s">
        <v>270</v>
      </c>
      <c r="B259" s="2">
        <f>HYPERLINK("https://www.suredividend.com/sure-analysis-BKU/","BankUnited, Inc.")</f>
        <v>0</v>
      </c>
      <c r="C259" s="1" t="s">
        <v>1962</v>
      </c>
      <c r="D259" s="3">
        <v>51.33</v>
      </c>
      <c r="E259" s="4">
        <v>0.02415741281901422</v>
      </c>
      <c r="F259" s="4">
        <v>0.02328</v>
      </c>
      <c r="G259" s="3">
        <v>1.24</v>
      </c>
      <c r="H259" s="5">
        <v>3783.42845</v>
      </c>
      <c r="I259" s="6">
        <v>14.0965</v>
      </c>
      <c r="J259" s="4">
        <v>0.336303</v>
      </c>
      <c r="K259" s="7">
        <v>1.359</v>
      </c>
      <c r="L259" s="3">
        <v>51.33</v>
      </c>
      <c r="M259" s="3">
        <v>27.29</v>
      </c>
    </row>
    <row r="260" spans="1:13">
      <c r="A260" s="8" t="s">
        <v>271</v>
      </c>
      <c r="B260" s="2">
        <f>HYPERLINK("https://www.suredividend.com/sure-analysis-research-database/","BKV Corp")</f>
        <v>0</v>
      </c>
      <c r="C260" s="1" t="s">
        <v>1959</v>
      </c>
      <c r="D260" s="3">
        <v>28.01</v>
      </c>
      <c r="F260" s="4">
        <v>0</v>
      </c>
      <c r="G260" s="3">
        <v>0</v>
      </c>
      <c r="H260" s="5">
        <v>2413.432</v>
      </c>
      <c r="I260" s="6">
        <v>53.2778</v>
      </c>
      <c r="J260" s="4">
        <v>0</v>
      </c>
      <c r="K260" s="7">
        <v>1.212</v>
      </c>
      <c r="L260" s="3">
        <v>29.65</v>
      </c>
      <c r="M260" s="3">
        <v>15</v>
      </c>
    </row>
    <row r="261" spans="1:13">
      <c r="A261" s="8" t="s">
        <v>272</v>
      </c>
      <c r="B261" s="2">
        <f>HYPERLINK("https://www.suredividend.com/sure-analysis-research-database/","BLACKLINE, INC.")</f>
        <v>0</v>
      </c>
      <c r="C261" s="1" t="s">
        <v>1960</v>
      </c>
      <c r="D261" s="3">
        <v>51.76</v>
      </c>
      <c r="F261" s="4">
        <v>0</v>
      </c>
      <c r="G261" s="3">
        <v>0</v>
      </c>
      <c r="H261" s="5">
        <v>3076.055602</v>
      </c>
      <c r="I261" s="6">
        <v>40.4483</v>
      </c>
      <c r="J261" s="4">
        <v>0</v>
      </c>
      <c r="K261" s="7">
        <v>1.1598</v>
      </c>
      <c r="L261" s="3">
        <v>66.25</v>
      </c>
      <c r="M261" s="3">
        <v>40.82</v>
      </c>
    </row>
    <row r="262" spans="1:13">
      <c r="A262" s="8" t="s">
        <v>273</v>
      </c>
      <c r="B262" s="2">
        <f>HYPERLINK("https://www.suredividend.com/sure-analysis-research-database/","Blue Bird Corp")</f>
        <v>0</v>
      </c>
      <c r="C262" s="1" t="s">
        <v>1963</v>
      </c>
      <c r="D262" s="3">
        <v>49.21</v>
      </c>
      <c r="F262" s="4">
        <v>0</v>
      </c>
      <c r="G262" s="3">
        <v>0</v>
      </c>
      <c r="H262" s="5">
        <v>1555.301589</v>
      </c>
      <c r="I262" s="6">
        <v>12.1774</v>
      </c>
      <c r="J262" s="4">
        <v>0</v>
      </c>
      <c r="K262" s="7">
        <v>0.8361</v>
      </c>
      <c r="L262" s="3">
        <v>61.95</v>
      </c>
      <c r="M262" s="3">
        <v>30.04</v>
      </c>
    </row>
    <row r="263" spans="1:13">
      <c r="A263" s="8" t="s">
        <v>274</v>
      </c>
      <c r="B263" s="2">
        <f>HYPERLINK("https://www.suredividend.com/sure-analysis-research-database/","Blade Air Mobility, Inc.")</f>
        <v>0</v>
      </c>
      <c r="C263" s="1" t="s">
        <v>1959</v>
      </c>
      <c r="D263" s="3">
        <v>5.66</v>
      </c>
      <c r="G263" s="3">
        <v>0</v>
      </c>
      <c r="H263" s="5">
        <v>487.970872</v>
      </c>
      <c r="I263" s="6">
        <v>12.0824</v>
      </c>
      <c r="J263" s="4">
        <v>0</v>
      </c>
      <c r="L263" s="3">
        <v>6.02</v>
      </c>
      <c r="M263" s="3">
        <v>2.35</v>
      </c>
    </row>
    <row r="264" spans="1:13">
      <c r="A264" s="8" t="s">
        <v>275</v>
      </c>
      <c r="B264" s="2">
        <f>HYPERLINK("https://www.suredividend.com/sure-analysis-research-database/","BIOLIFE SOLUTIONS INC")</f>
        <v>0</v>
      </c>
      <c r="C264" s="1" t="s">
        <v>1965</v>
      </c>
      <c r="D264" s="3">
        <v>25.53</v>
      </c>
      <c r="G264" s="3">
        <v>0</v>
      </c>
      <c r="H264" s="5">
        <v>1230.182575</v>
      </c>
      <c r="J264" s="4">
        <v>0</v>
      </c>
      <c r="L264" s="3">
        <v>29.62</v>
      </c>
      <c r="M264" s="3">
        <v>19.1</v>
      </c>
    </row>
    <row r="265" spans="1:13">
      <c r="A265" s="8" t="s">
        <v>276</v>
      </c>
      <c r="B265" s="2">
        <f>HYPERLINK("https://www.suredividend.com/sure-analysis-research-database/","Blue Foundry Bancorp")</f>
        <v>0</v>
      </c>
      <c r="C265" s="1" t="s">
        <v>1959</v>
      </c>
      <c r="D265" s="3">
        <v>12.99</v>
      </c>
      <c r="G265" s="3">
        <v>0</v>
      </c>
      <c r="H265" s="5">
        <v>269.895925</v>
      </c>
      <c r="J265" s="4">
        <v>0</v>
      </c>
    </row>
    <row r="266" spans="1:13">
      <c r="A266" s="8" t="s">
        <v>277</v>
      </c>
      <c r="B266" s="2">
        <f>HYPERLINK("https://www.suredividend.com/sure-analysis-research-database/","BLACKBAUD INC")</f>
        <v>0</v>
      </c>
      <c r="C266" s="1" t="s">
        <v>1960</v>
      </c>
      <c r="D266" s="3">
        <v>55.21</v>
      </c>
      <c r="G266" s="3">
        <v>0</v>
      </c>
      <c r="H266" s="5">
        <v>2640.925023</v>
      </c>
      <c r="J266" s="4">
        <v>0</v>
      </c>
      <c r="L266" s="3">
        <v>81.39</v>
      </c>
      <c r="M266" s="3">
        <v>53.8</v>
      </c>
    </row>
    <row r="267" spans="1:13">
      <c r="A267" s="8" t="s">
        <v>278</v>
      </c>
      <c r="B267" s="2">
        <f>HYPERLINK("https://www.suredividend.com/sure-analysis-research-database/","Bloomin' Brands, Inc.")</f>
        <v>0</v>
      </c>
      <c r="C267" s="1" t="s">
        <v>1963</v>
      </c>
      <c r="D267" s="3">
        <v>7.66</v>
      </c>
      <c r="E267" s="4">
        <v>0.09</v>
      </c>
      <c r="F267" s="4">
        <v>0.08505</v>
      </c>
      <c r="G267" s="3">
        <v>0</v>
      </c>
      <c r="H267" s="5">
        <v>649.354233</v>
      </c>
    </row>
    <row r="268" spans="1:13">
      <c r="A268" s="8" t="s">
        <v>279</v>
      </c>
      <c r="B268" s="2">
        <f>HYPERLINK("https://www.suredividend.com/sure-analysis-research-database/","Blend Labs, Inc.")</f>
        <v>0</v>
      </c>
      <c r="C268" s="1" t="s">
        <v>1959</v>
      </c>
      <c r="D268" s="3">
        <v>2.79</v>
      </c>
      <c r="G268" s="3">
        <v>0</v>
      </c>
      <c r="H268" s="5">
        <v>732.486314</v>
      </c>
      <c r="J268" s="4">
        <v>0</v>
      </c>
      <c r="L268" s="3">
        <v>4.49</v>
      </c>
      <c r="M268" s="3">
        <v>2.5</v>
      </c>
    </row>
    <row r="269" spans="1:13">
      <c r="A269" s="8" t="s">
        <v>280</v>
      </c>
      <c r="B269" s="2">
        <f>HYPERLINK("https://www.suredividend.com/sure-analysis-research-database/","Blink Charging Co.")</f>
        <v>0</v>
      </c>
      <c r="C269" s="1" t="s">
        <v>1963</v>
      </c>
      <c r="D269" s="3">
        <v>0.8595</v>
      </c>
      <c r="G269" s="3">
        <v>0</v>
      </c>
      <c r="H269" s="5">
        <v>95.30851</v>
      </c>
      <c r="J269" s="4">
        <v>0</v>
      </c>
      <c r="L269" s="3">
        <v>2.65</v>
      </c>
      <c r="M269" s="3">
        <v>0.63</v>
      </c>
    </row>
    <row r="270" spans="1:13">
      <c r="A270" s="8" t="s">
        <v>281</v>
      </c>
      <c r="B270" s="2">
        <f>HYPERLINK("https://www.suredividend.com/sure-analysis-research-database/","bluebird bio, Inc.")</f>
        <v>0</v>
      </c>
      <c r="C270" s="1" t="s">
        <v>1965</v>
      </c>
      <c r="D270" s="3">
        <v>17.21</v>
      </c>
      <c r="G270" s="3">
        <v>0</v>
      </c>
      <c r="H270" s="5">
        <v>48.668516</v>
      </c>
      <c r="J270" s="4">
        <v>0</v>
      </c>
    </row>
    <row r="271" spans="1:13">
      <c r="A271" s="8" t="s">
        <v>282</v>
      </c>
      <c r="B271" s="2">
        <f>HYPERLINK("https://www.suredividend.com/sure-analysis-research-database/","FOREIGN TRADE BANK OF LATIN AMERICA, INC.")</f>
        <v>0</v>
      </c>
      <c r="C271" s="1" t="s">
        <v>1962</v>
      </c>
      <c r="D271" s="3">
        <v>46.03</v>
      </c>
      <c r="E271" s="4">
        <v>0.05</v>
      </c>
      <c r="F271" s="4">
        <v>0.03445</v>
      </c>
      <c r="G271" s="3">
        <v>0</v>
      </c>
      <c r="H271" s="5">
        <v>1694.217261</v>
      </c>
      <c r="I271" s="6">
        <v>8.2294</v>
      </c>
      <c r="J271" s="4">
        <v>0</v>
      </c>
      <c r="K271" s="7">
        <v>0.6659</v>
      </c>
    </row>
    <row r="272" spans="1:13">
      <c r="A272" s="8" t="s">
        <v>283</v>
      </c>
      <c r="B272" s="2">
        <f>HYPERLINK("https://www.suredividend.com/sure-analysis-research-database/","Backblaze, Inc.")</f>
        <v>0</v>
      </c>
      <c r="C272" s="1" t="s">
        <v>1959</v>
      </c>
      <c r="D272" s="3">
        <v>4.68</v>
      </c>
      <c r="F272" s="4">
        <v>0</v>
      </c>
      <c r="G272" s="3">
        <v>0</v>
      </c>
      <c r="H272" s="5">
        <v>270.036</v>
      </c>
      <c r="J272" s="4">
        <v>0</v>
      </c>
      <c r="K272" s="7">
        <v>1.8104</v>
      </c>
      <c r="L272" s="3">
        <v>10.86</v>
      </c>
      <c r="M272" s="3">
        <v>3.94</v>
      </c>
    </row>
    <row r="273" spans="1:13">
      <c r="A273" s="8" t="s">
        <v>284</v>
      </c>
      <c r="B273" s="2">
        <f>HYPERLINK("https://www.suredividend.com/sure-analysis-research-database/","Bumble Inc.")</f>
        <v>0</v>
      </c>
      <c r="C273" s="1" t="s">
        <v>1959</v>
      </c>
      <c r="D273" s="3">
        <v>3.6</v>
      </c>
      <c r="F273" s="4">
        <v>0</v>
      </c>
      <c r="G273" s="3">
        <v>0</v>
      </c>
      <c r="H273" s="5">
        <v>404.732992</v>
      </c>
      <c r="K273" s="7">
        <v>1.2631</v>
      </c>
      <c r="L273" s="3">
        <v>8.82</v>
      </c>
      <c r="M273" s="3">
        <v>3.18</v>
      </c>
    </row>
    <row r="274" spans="1:13">
      <c r="A274" s="8" t="s">
        <v>285</v>
      </c>
      <c r="B274" s="2">
        <f>HYPERLINK("https://www.suredividend.com/sure-analysis-research-database/","Biomea Fusion, Inc.")</f>
        <v>0</v>
      </c>
      <c r="C274" s="1" t="s">
        <v>1959</v>
      </c>
      <c r="D274" s="3">
        <v>1.41</v>
      </c>
      <c r="F274" s="4">
        <v>0</v>
      </c>
      <c r="G274" s="3">
        <v>0</v>
      </c>
      <c r="H274" s="5">
        <v>99.692131</v>
      </c>
      <c r="J274" s="4">
        <v>0</v>
      </c>
      <c r="K274" s="7">
        <v>1.9211</v>
      </c>
      <c r="L274" s="3">
        <v>4.59</v>
      </c>
      <c r="M274" s="3">
        <v>0.87</v>
      </c>
    </row>
    <row r="275" spans="1:13">
      <c r="A275" s="8" t="s">
        <v>286</v>
      </c>
      <c r="B275" s="2">
        <f>HYPERLINK("https://www.suredividend.com/sure-analysis-BMI/","BADGER METER INC")</f>
        <v>0</v>
      </c>
      <c r="C275" s="1" t="s">
        <v>1964</v>
      </c>
      <c r="D275" s="3">
        <v>172.04</v>
      </c>
      <c r="E275" s="4">
        <v>0.009300162752848175</v>
      </c>
      <c r="F275" s="4">
        <v>0.00583</v>
      </c>
      <c r="G275" s="3">
        <v>1.48</v>
      </c>
      <c r="H275" s="5">
        <v>5013.98922</v>
      </c>
      <c r="I275" s="6">
        <v>36.1301</v>
      </c>
      <c r="J275" s="4">
        <v>0.301032</v>
      </c>
      <c r="K275" s="7">
        <v>0.8915</v>
      </c>
      <c r="L275" s="3">
        <v>254.91</v>
      </c>
      <c r="M275" s="3">
        <v>161.21</v>
      </c>
    </row>
    <row r="276" spans="1:13">
      <c r="A276" s="8" t="s">
        <v>287</v>
      </c>
      <c r="B276" s="2">
        <f>HYPERLINK("https://www.suredividend.com/sure-analysis-research-database/","Bank of Marin Bancorp")</f>
        <v>0</v>
      </c>
      <c r="C276" s="1" t="s">
        <v>1962</v>
      </c>
      <c r="D276" s="3">
        <v>27.68</v>
      </c>
      <c r="E276" s="4">
        <v>0.04</v>
      </c>
      <c r="F276" s="4">
        <v>0.03746</v>
      </c>
      <c r="G276" s="3">
        <v>1</v>
      </c>
      <c r="H276" s="5">
        <v>445.339962</v>
      </c>
      <c r="I276" s="6">
        <v>45.1343</v>
      </c>
      <c r="J276" s="4">
        <v>1.634033</v>
      </c>
      <c r="K276" s="7">
        <v>0.8389</v>
      </c>
      <c r="L276" s="3">
        <v>28.48</v>
      </c>
      <c r="M276" s="3">
        <v>18.52</v>
      </c>
    </row>
    <row r="277" spans="1:13">
      <c r="A277" s="8" t="s">
        <v>288</v>
      </c>
      <c r="B277" s="2">
        <f>HYPERLINK("https://www.suredividend.com/sure-analysis-research-database/","Broadstone Net Lease, Inc.")</f>
        <v>0</v>
      </c>
      <c r="C277" s="1" t="s">
        <v>1959</v>
      </c>
      <c r="D277" s="3">
        <v>18.69</v>
      </c>
      <c r="E277" s="4">
        <v>0.06</v>
      </c>
      <c r="F277" s="4">
        <v>0.06085</v>
      </c>
      <c r="G277" s="3">
        <v>1.16</v>
      </c>
      <c r="H277" s="5">
        <v>3536.447732</v>
      </c>
      <c r="I277" s="6">
        <v>39.3994</v>
      </c>
      <c r="J277" s="4">
        <v>2.490092</v>
      </c>
      <c r="K277" s="7">
        <v>0.4722</v>
      </c>
      <c r="L277" s="3">
        <v>18.75</v>
      </c>
      <c r="M277" s="3">
        <v>13.26</v>
      </c>
    </row>
    <row r="278" spans="1:13">
      <c r="A278" s="8" t="s">
        <v>289</v>
      </c>
      <c r="B278" s="2">
        <f>HYPERLINK("https://www.suredividend.com/sure-analysis-research-database/","BOSTON OMAHA Corp")</f>
        <v>0</v>
      </c>
      <c r="C278" s="1" t="s">
        <v>1959</v>
      </c>
      <c r="D278" s="3">
        <v>12.235</v>
      </c>
      <c r="F278" s="4">
        <v>0</v>
      </c>
      <c r="G278" s="3">
        <v>0</v>
      </c>
      <c r="H278" s="5">
        <v>384.990032</v>
      </c>
      <c r="K278" s="7">
        <v>0.4977</v>
      </c>
      <c r="L278" s="3">
        <v>15.75</v>
      </c>
      <c r="M278" s="3">
        <v>11.3</v>
      </c>
    </row>
    <row r="279" spans="1:13">
      <c r="A279" s="8" t="s">
        <v>290</v>
      </c>
      <c r="B279" s="2">
        <f>HYPERLINK("https://www.suredividend.com/sure-analysis-research-database/","BANK OF HAWAII CORP")</f>
        <v>0</v>
      </c>
      <c r="C279" s="1" t="s">
        <v>1962</v>
      </c>
      <c r="D279" s="3">
        <v>73.25</v>
      </c>
      <c r="E279" s="4">
        <v>0.04</v>
      </c>
      <c r="F279" s="4">
        <v>0.04107</v>
      </c>
      <c r="G279" s="3">
        <v>2.8</v>
      </c>
      <c r="H279" s="5">
        <v>2913.462287</v>
      </c>
      <c r="I279" s="6">
        <v>17.8683</v>
      </c>
      <c r="J279" s="4">
        <v>0.727289</v>
      </c>
      <c r="K279" s="7">
        <v>1.0017</v>
      </c>
      <c r="L279" s="3">
        <v>73.44</v>
      </c>
      <c r="M279" s="3">
        <v>55.67</v>
      </c>
    </row>
    <row r="280" spans="1:13">
      <c r="A280" s="8" t="s">
        <v>291</v>
      </c>
      <c r="B280" s="2">
        <f>HYPERLINK("https://www.suredividend.com/sure-analysis-research-database/","Boundless Bio, Inc.")</f>
        <v>0</v>
      </c>
      <c r="C280" s="1" t="s">
        <v>1959</v>
      </c>
      <c r="D280" s="3">
        <v>1.24</v>
      </c>
      <c r="G280" s="3">
        <v>0</v>
      </c>
      <c r="H280" s="5">
        <v>27.758158</v>
      </c>
      <c r="J280" s="4">
        <v>0</v>
      </c>
    </row>
    <row r="281" spans="1:13">
      <c r="A281" s="8" t="s">
        <v>292</v>
      </c>
      <c r="B281" s="2">
        <f>HYPERLINK("https://www.suredividend.com/sure-analysis-research-database/","DMC Global Inc.")</f>
        <v>0</v>
      </c>
      <c r="C281" s="1" t="s">
        <v>1969</v>
      </c>
      <c r="D281" s="3">
        <v>8.859999999999999</v>
      </c>
      <c r="G281" s="3">
        <v>0</v>
      </c>
      <c r="H281" s="5">
        <v>182.431671</v>
      </c>
    </row>
    <row r="282" spans="1:13">
      <c r="A282" s="8" t="s">
        <v>293</v>
      </c>
      <c r="B282" s="2">
        <f>HYPERLINK("https://www.suredividend.com/sure-analysis-research-database/","Boot Barn Holdings, Inc.")</f>
        <v>0</v>
      </c>
      <c r="C282" s="1" t="s">
        <v>1963</v>
      </c>
      <c r="D282" s="3">
        <v>198.81</v>
      </c>
      <c r="G282" s="3">
        <v>0</v>
      </c>
      <c r="H282" s="5">
        <v>6059.536767</v>
      </c>
      <c r="I282" s="6">
        <v>29.0995</v>
      </c>
      <c r="J282" s="4">
        <v>0</v>
      </c>
      <c r="L282" s="3">
        <v>210.25</v>
      </c>
      <c r="M282" s="3">
        <v>86.17</v>
      </c>
    </row>
    <row r="283" spans="1:13">
      <c r="A283" s="8" t="s">
        <v>294</v>
      </c>
      <c r="B283" s="2">
        <f>HYPERLINK("https://www.suredividend.com/sure-analysis-research-database/","Borr Drilling Ltd")</f>
        <v>0</v>
      </c>
      <c r="C283" s="1" t="s">
        <v>1969</v>
      </c>
      <c r="D283" s="3">
        <v>4.36</v>
      </c>
      <c r="E283" s="4">
        <v>0.03</v>
      </c>
      <c r="F283" s="4">
        <v>0.0113</v>
      </c>
      <c r="G283" s="3">
        <v>0</v>
      </c>
      <c r="H283" s="5">
        <v>1072.779476</v>
      </c>
      <c r="I283" s="6">
        <v>13.0667</v>
      </c>
      <c r="J283" s="4">
        <v>0.929354</v>
      </c>
    </row>
    <row r="284" spans="1:13">
      <c r="A284" s="8" t="s">
        <v>295</v>
      </c>
      <c r="B284" s="2">
        <f>HYPERLINK("https://www.suredividend.com/sure-analysis-research-database/","Bowhead Specialty Holdings Inc.")</f>
        <v>0</v>
      </c>
      <c r="C284" s="1" t="s">
        <v>1959</v>
      </c>
      <c r="D284" s="3">
        <v>25.07</v>
      </c>
      <c r="G284" s="3">
        <v>0</v>
      </c>
      <c r="H284" s="5">
        <v>822.196988</v>
      </c>
      <c r="I284" s="6">
        <v>15.6463</v>
      </c>
      <c r="J284" s="4">
        <v>0</v>
      </c>
    </row>
    <row r="285" spans="1:13">
      <c r="A285" s="8" t="s">
        <v>296</v>
      </c>
      <c r="B285" s="2">
        <f>HYPERLINK("https://www.suredividend.com/sure-analysis-research-database/","BOX INC")</f>
        <v>0</v>
      </c>
      <c r="C285" s="1" t="s">
        <v>1960</v>
      </c>
      <c r="D285" s="3">
        <v>25.82</v>
      </c>
      <c r="G285" s="3">
        <v>0</v>
      </c>
      <c r="H285" s="5">
        <v>3726.787824</v>
      </c>
      <c r="I285" s="6">
        <v>33.6946</v>
      </c>
      <c r="J285" s="4">
        <v>0.105658</v>
      </c>
      <c r="L285" s="3">
        <v>38.8</v>
      </c>
      <c r="M285" s="3">
        <v>25.74</v>
      </c>
    </row>
    <row r="286" spans="1:13">
      <c r="A286" s="8" t="s">
        <v>297</v>
      </c>
      <c r="B286" s="2">
        <f>HYPERLINK("https://www.suredividend.com/sure-analysis-research-database/","Blueprint Medicines Corp")</f>
        <v>0</v>
      </c>
      <c r="C286" s="1" t="s">
        <v>1965</v>
      </c>
      <c r="D286" s="3">
        <v>129.5</v>
      </c>
      <c r="G286" s="3">
        <v>0</v>
      </c>
      <c r="H286" s="5">
        <v>8360.806822</v>
      </c>
      <c r="J286" s="4">
        <v>0</v>
      </c>
    </row>
    <row r="287" spans="1:13">
      <c r="A287" s="8" t="s">
        <v>298</v>
      </c>
      <c r="B287" s="2">
        <f>HYPERLINK("https://www.suredividend.com/sure-analysis-research-database/","Princeton Bancorp, Inc.")</f>
        <v>0</v>
      </c>
      <c r="C287" s="1" t="s">
        <v>1962</v>
      </c>
      <c r="D287" s="3">
        <v>36.84</v>
      </c>
      <c r="E287" s="4">
        <v>0.03</v>
      </c>
      <c r="F287" s="4">
        <v>0.02422</v>
      </c>
      <c r="G287" s="3">
        <v>0</v>
      </c>
      <c r="H287" s="5">
        <v>235.40845</v>
      </c>
      <c r="I287" s="6">
        <v>13.0819</v>
      </c>
      <c r="J287" s="4">
        <v>0.465567</v>
      </c>
      <c r="L287" s="3">
        <v>36.95</v>
      </c>
      <c r="M287" s="3">
        <v>26.44</v>
      </c>
    </row>
    <row r="288" spans="1:13">
      <c r="A288" s="8" t="s">
        <v>299</v>
      </c>
      <c r="B288" s="2">
        <f>HYPERLINK("https://www.suredividend.com/sure-analysis-research-database/","BRC Inc.")</f>
        <v>0</v>
      </c>
      <c r="C288" s="1" t="s">
        <v>1959</v>
      </c>
      <c r="D288" s="3">
        <v>1</v>
      </c>
      <c r="G288" s="3">
        <v>0</v>
      </c>
      <c r="H288" s="5">
        <v>247.133131</v>
      </c>
      <c r="J288" s="4">
        <v>0</v>
      </c>
    </row>
    <row r="289" spans="1:13">
      <c r="A289" s="8" t="s">
        <v>300</v>
      </c>
      <c r="B289" s="2">
        <f>HYPERLINK("https://www.suredividend.com/sure-analysis-research-database/","BROOKLINE BANCORP INC")</f>
        <v>0</v>
      </c>
      <c r="C289" s="1" t="s">
        <v>1962</v>
      </c>
      <c r="D289" s="3">
        <v>10.95</v>
      </c>
      <c r="E289" s="4">
        <v>0.06</v>
      </c>
      <c r="F289" s="4">
        <v>0.04785</v>
      </c>
      <c r="G289" s="3">
        <v>0.68</v>
      </c>
      <c r="H289" s="5">
        <v>975.695425</v>
      </c>
      <c r="I289" s="6">
        <v>12.3813</v>
      </c>
      <c r="J289" s="4">
        <v>0.610553</v>
      </c>
      <c r="K289" s="7">
        <v>0.8948</v>
      </c>
    </row>
    <row r="290" spans="1:13">
      <c r="A290" s="8" t="s">
        <v>301</v>
      </c>
      <c r="B290" s="2">
        <f>HYPERLINK("https://www.suredividend.com/sure-analysis-research-database/","BrightSpire Capital, Inc.")</f>
        <v>0</v>
      </c>
      <c r="C290" s="1" t="s">
        <v>1959</v>
      </c>
      <c r="D290" s="3">
        <v>6</v>
      </c>
      <c r="E290" s="4">
        <v>0.11</v>
      </c>
      <c r="F290" s="4">
        <v>0.123</v>
      </c>
      <c r="G290" s="3">
        <v>0.64</v>
      </c>
      <c r="H290" s="5">
        <v>778.397574</v>
      </c>
      <c r="K290" s="7">
        <v>1.06</v>
      </c>
      <c r="L290" s="3">
        <v>6</v>
      </c>
      <c r="M290" s="3">
        <v>3.81</v>
      </c>
    </row>
    <row r="291" spans="1:13">
      <c r="A291" s="8" t="s">
        <v>302</v>
      </c>
      <c r="B291" s="2">
        <f>HYPERLINK("https://www.suredividend.com/sure-analysis-research-database/","BRT Apartments Corp.")</f>
        <v>0</v>
      </c>
      <c r="C291" s="1" t="s">
        <v>1961</v>
      </c>
      <c r="D291" s="3">
        <v>14.975</v>
      </c>
      <c r="E291" s="4">
        <v>0.07000000000000001</v>
      </c>
      <c r="F291" s="4">
        <v>0.0663</v>
      </c>
      <c r="G291" s="3">
        <v>1</v>
      </c>
      <c r="H291" s="5">
        <v>284.545094</v>
      </c>
      <c r="K291" s="7">
        <v>0.7739</v>
      </c>
      <c r="L291" s="3">
        <v>17.87</v>
      </c>
      <c r="M291" s="3">
        <v>13.72</v>
      </c>
    </row>
    <row r="292" spans="1:13">
      <c r="A292" s="8" t="s">
        <v>303</v>
      </c>
      <c r="B292" s="2">
        <f>HYPERLINK("https://www.suredividend.com/sure-analysis-research-database/","Berry Corp (bry)")</f>
        <v>0</v>
      </c>
      <c r="C292" s="1" t="s">
        <v>1969</v>
      </c>
      <c r="D292" s="3">
        <v>3.26</v>
      </c>
      <c r="E292" s="4">
        <v>0.04</v>
      </c>
      <c r="F292" s="4">
        <v>0.10552</v>
      </c>
      <c r="G292" s="3">
        <v>0.12</v>
      </c>
      <c r="H292" s="5">
        <v>252.999126</v>
      </c>
      <c r="K292" s="7">
        <v>0.6812</v>
      </c>
    </row>
    <row r="293" spans="1:13">
      <c r="A293" s="8" t="s">
        <v>304</v>
      </c>
      <c r="B293" s="2">
        <f>HYPERLINK("https://www.suredividend.com/sure-analysis-research-database/","Braze, Inc.")</f>
        <v>0</v>
      </c>
      <c r="C293" s="1" t="s">
        <v>1959</v>
      </c>
      <c r="D293" s="3">
        <v>24.35</v>
      </c>
      <c r="F293" s="4">
        <v>0</v>
      </c>
      <c r="G293" s="3">
        <v>0</v>
      </c>
      <c r="H293" s="5">
        <v>2708.882122</v>
      </c>
      <c r="J293" s="4">
        <v>0</v>
      </c>
      <c r="K293" s="7">
        <v>1.5839</v>
      </c>
      <c r="L293" s="3">
        <v>48.33</v>
      </c>
      <c r="M293" s="3">
        <v>22.66</v>
      </c>
    </row>
    <row r="294" spans="1:13">
      <c r="A294" s="8" t="s">
        <v>305</v>
      </c>
      <c r="B294" s="2">
        <f>HYPERLINK("https://www.suredividend.com/sure-analysis-research-database/","SIERRA BANCORP")</f>
        <v>0</v>
      </c>
      <c r="C294" s="1" t="s">
        <v>1962</v>
      </c>
      <c r="D294" s="3">
        <v>36.27</v>
      </c>
      <c r="E294" s="4">
        <v>0.03</v>
      </c>
      <c r="F294" s="4">
        <v>0.02698</v>
      </c>
      <c r="G294" s="3">
        <v>1</v>
      </c>
      <c r="H294" s="5">
        <v>489.278401</v>
      </c>
      <c r="I294" s="6">
        <v>12.2944</v>
      </c>
      <c r="J294" s="4">
        <v>0.346785</v>
      </c>
      <c r="K294" s="7">
        <v>0.8672</v>
      </c>
      <c r="L294" s="3">
        <v>36.29</v>
      </c>
      <c r="M294" s="3">
        <v>21.83</v>
      </c>
    </row>
    <row r="295" spans="1:13">
      <c r="A295" s="8" t="s">
        <v>306</v>
      </c>
      <c r="B295" s="2">
        <f>HYPERLINK("https://www.suredividend.com/sure-analysis-BSVN/","Bank7 Corp.")</f>
        <v>0</v>
      </c>
      <c r="C295" s="1" t="s">
        <v>1962</v>
      </c>
      <c r="D295" s="3">
        <v>44.6</v>
      </c>
      <c r="E295" s="4">
        <v>0.0242152466367713</v>
      </c>
      <c r="F295" s="4">
        <v>0.01729</v>
      </c>
      <c r="G295" s="3">
        <v>1.02</v>
      </c>
      <c r="J295" s="4">
        <v>0.208139</v>
      </c>
      <c r="K295" s="7">
        <v>0.8038999999999999</v>
      </c>
      <c r="L295" s="3">
        <v>49.52</v>
      </c>
      <c r="M295" s="3">
        <v>31.91</v>
      </c>
    </row>
    <row r="296" spans="1:13">
      <c r="A296" s="8" t="s">
        <v>307</v>
      </c>
      <c r="B296" s="2">
        <f>HYPERLINK("https://www.suredividend.com/sure-analysis-research-database/","Bit Digital, Inc")</f>
        <v>0</v>
      </c>
      <c r="C296" s="1" t="s">
        <v>1959</v>
      </c>
      <c r="D296" s="3">
        <v>2.23</v>
      </c>
      <c r="F296" s="4">
        <v>0</v>
      </c>
      <c r="G296" s="3">
        <v>0</v>
      </c>
      <c r="J296" s="4">
        <v>0.006021</v>
      </c>
      <c r="K296" s="7">
        <v>2.325</v>
      </c>
      <c r="L296" s="3">
        <v>4.55</v>
      </c>
      <c r="M296" s="3">
        <v>1.69</v>
      </c>
    </row>
    <row r="297" spans="1:13">
      <c r="A297" s="8" t="s">
        <v>308</v>
      </c>
      <c r="B297" s="2">
        <f>HYPERLINK("https://www.suredividend.com/sure-analysis-research-database/","biote Corp.")</f>
        <v>0</v>
      </c>
      <c r="C297" s="1" t="s">
        <v>1959</v>
      </c>
      <c r="D297" s="3">
        <v>2.285</v>
      </c>
      <c r="G297" s="3">
        <v>0</v>
      </c>
      <c r="H297" s="5">
        <v>104.567423</v>
      </c>
      <c r="I297" s="6">
        <v>3.6316</v>
      </c>
      <c r="J297" s="4">
        <v>0.051659</v>
      </c>
    </row>
    <row r="298" spans="1:13">
      <c r="A298" s="8" t="s">
        <v>309</v>
      </c>
      <c r="B298" s="2">
        <f>HYPERLINK("https://www.suredividend.com/sure-analysis-research-database/","BrightSpring Health Services, Inc.")</f>
        <v>0</v>
      </c>
      <c r="C298" s="1" t="s">
        <v>1959</v>
      </c>
      <c r="D298" s="3">
        <v>39.24</v>
      </c>
      <c r="G298" s="3">
        <v>0</v>
      </c>
      <c r="H298" s="5">
        <v>7075.220611</v>
      </c>
      <c r="I298" s="6">
        <v>54.5991</v>
      </c>
      <c r="J298" s="4">
        <v>0</v>
      </c>
    </row>
    <row r="299" spans="1:13">
      <c r="A299" s="8" t="s">
        <v>310</v>
      </c>
      <c r="B299" s="2">
        <f>HYPERLINK("https://www.suredividend.com/sure-analysis-research-database/","PEABODY ENERGY CORP")</f>
        <v>0</v>
      </c>
      <c r="C299" s="1" t="s">
        <v>1969</v>
      </c>
      <c r="D299" s="3">
        <v>39.3</v>
      </c>
      <c r="E299" s="4">
        <v>0.01</v>
      </c>
      <c r="F299" s="4">
        <v>0.00513</v>
      </c>
      <c r="G299" s="3">
        <v>0</v>
      </c>
      <c r="H299" s="5">
        <v>4721.728</v>
      </c>
    </row>
    <row r="300" spans="1:13">
      <c r="A300" s="8" t="s">
        <v>311</v>
      </c>
      <c r="B300" s="2">
        <f>HYPERLINK("https://www.suredividend.com/sure-analysis-research-database/","Burford Capital Ltd")</f>
        <v>0</v>
      </c>
      <c r="C300" s="1" t="s">
        <v>1959</v>
      </c>
      <c r="D300" s="3">
        <v>9.67</v>
      </c>
      <c r="F300" s="4">
        <v>0.01323</v>
      </c>
      <c r="G300" s="3">
        <v>0</v>
      </c>
      <c r="H300" s="5">
        <v>2103.518485</v>
      </c>
      <c r="I300" s="6">
        <v>24.1503</v>
      </c>
      <c r="J300" s="4">
        <v>1.841341</v>
      </c>
    </row>
    <row r="301" spans="1:13">
      <c r="A301" s="8" t="s">
        <v>312</v>
      </c>
      <c r="B301" s="2">
        <f>HYPERLINK("https://www.suredividend.com/sure-analysis-research-database/","FIRST BUSEY CORP /NV/")</f>
        <v>0</v>
      </c>
      <c r="C301" s="1" t="s">
        <v>1962</v>
      </c>
      <c r="D301" s="3">
        <v>25.485</v>
      </c>
      <c r="E301" s="4">
        <v>0.04</v>
      </c>
      <c r="F301" s="4">
        <v>0.03955</v>
      </c>
      <c r="G301" s="3">
        <v>0</v>
      </c>
      <c r="H301" s="5">
        <v>2253.546506</v>
      </c>
      <c r="I301" s="6">
        <v>23.1534</v>
      </c>
      <c r="J301" s="4">
        <v>0.759211</v>
      </c>
      <c r="L301" s="3">
        <v>25.62</v>
      </c>
      <c r="M301" s="3">
        <v>17.79</v>
      </c>
    </row>
    <row r="302" spans="1:13">
      <c r="A302" s="8" t="s">
        <v>313</v>
      </c>
      <c r="B302" s="2">
        <f>HYPERLINK("https://www.suredividend.com/sure-analysis-research-database/","BrightView Holdings, Inc.")</f>
        <v>0</v>
      </c>
      <c r="C302" s="1" t="s">
        <v>1964</v>
      </c>
      <c r="D302" s="3">
        <v>13.495</v>
      </c>
      <c r="G302" s="3">
        <v>0</v>
      </c>
      <c r="H302" s="5">
        <v>1277.503</v>
      </c>
      <c r="I302" s="6">
        <v>63.2427</v>
      </c>
      <c r="J302" s="4">
        <v>0.639286</v>
      </c>
      <c r="L302" s="3">
        <v>17.11</v>
      </c>
      <c r="M302" s="3">
        <v>11.06</v>
      </c>
    </row>
    <row r="303" spans="1:13">
      <c r="A303" s="8" t="s">
        <v>314</v>
      </c>
      <c r="B303" s="2">
        <f>HYPERLINK("https://www.suredividend.com/sure-analysis-research-database/","Bioventus Inc.")</f>
        <v>0</v>
      </c>
      <c r="C303" s="1" t="s">
        <v>1959</v>
      </c>
      <c r="D303" s="3">
        <v>8</v>
      </c>
      <c r="G303" s="3">
        <v>0</v>
      </c>
      <c r="H303" s="5">
        <v>662.105712</v>
      </c>
      <c r="I303" s="6">
        <v>65.09099999999999</v>
      </c>
      <c r="J303" s="4">
        <v>0</v>
      </c>
    </row>
    <row r="304" spans="1:13">
      <c r="A304" s="8" t="s">
        <v>315</v>
      </c>
      <c r="B304" s="2">
        <f>HYPERLINK("https://www.suredividend.com/sure-analysis-research-database/","Bridgewater Bancshares Inc")</f>
        <v>0</v>
      </c>
      <c r="C304" s="1" t="s">
        <v>1962</v>
      </c>
      <c r="D304" s="3">
        <v>19.02</v>
      </c>
      <c r="G304" s="3">
        <v>0</v>
      </c>
      <c r="H304" s="5">
        <v>523.834061</v>
      </c>
      <c r="I304" s="6">
        <v>14.1945</v>
      </c>
      <c r="J304" s="4">
        <v>0.098979</v>
      </c>
    </row>
    <row r="305" spans="1:13">
      <c r="A305" s="8" t="s">
        <v>316</v>
      </c>
      <c r="B305" s="2">
        <f>HYPERLINK("https://www.suredividend.com/sure-analysis-research-database/","Bankwell Financial Group, Inc.")</f>
        <v>0</v>
      </c>
      <c r="C305" s="1" t="s">
        <v>1962</v>
      </c>
      <c r="D305" s="3">
        <v>48.98</v>
      </c>
      <c r="E305" s="4">
        <v>0.02</v>
      </c>
      <c r="F305" s="4">
        <v>0.0173</v>
      </c>
      <c r="G305" s="3">
        <v>0</v>
      </c>
      <c r="H305" s="5">
        <v>386.782451</v>
      </c>
      <c r="I305" s="6">
        <v>13.3295</v>
      </c>
      <c r="J305" s="4">
        <v>0.215942</v>
      </c>
    </row>
    <row r="306" spans="1:13">
      <c r="A306" s="8" t="s">
        <v>317</v>
      </c>
      <c r="B306" s="2">
        <f>HYPERLINK("https://www.suredividend.com/sure-analysis-research-database/","Baldwin Insurance Group, Inc.")</f>
        <v>0</v>
      </c>
      <c r="C306" s="1" t="s">
        <v>1959</v>
      </c>
      <c r="D306" s="3">
        <v>26.46</v>
      </c>
      <c r="G306" s="3">
        <v>0</v>
      </c>
      <c r="H306" s="5">
        <v>1876.360874</v>
      </c>
      <c r="J306" s="4">
        <v>0</v>
      </c>
    </row>
    <row r="307" spans="1:13">
      <c r="A307" s="8" t="s">
        <v>318</v>
      </c>
      <c r="B307" s="2">
        <f>HYPERLINK("https://www.suredividend.com/sure-analysis-research-database/","Bowman Consulting Group Ltd.")</f>
        <v>0</v>
      </c>
      <c r="C307" s="1" t="s">
        <v>1959</v>
      </c>
      <c r="D307" s="3">
        <v>35.69</v>
      </c>
      <c r="F307" s="4">
        <v>0</v>
      </c>
      <c r="G307" s="3">
        <v>0</v>
      </c>
      <c r="H307" s="5">
        <v>620.220705</v>
      </c>
      <c r="I307" s="6">
        <v>38.7662</v>
      </c>
      <c r="J307" s="4">
        <v>0</v>
      </c>
      <c r="K307" s="7">
        <v>1.1319</v>
      </c>
      <c r="L307" s="3">
        <v>45.83</v>
      </c>
      <c r="M307" s="3">
        <v>17.9</v>
      </c>
    </row>
    <row r="308" spans="1:13">
      <c r="A308" s="8" t="s">
        <v>319</v>
      </c>
      <c r="B308" s="2">
        <f>HYPERLINK("https://www.suredividend.com/sure-analysis-research-database/","BlueLinx Holdings Inc.")</f>
        <v>0</v>
      </c>
      <c r="C308" s="1" t="s">
        <v>1964</v>
      </c>
      <c r="D308" s="3">
        <v>74.87</v>
      </c>
      <c r="F308" s="4">
        <v>0</v>
      </c>
      <c r="G308" s="3">
        <v>4.42</v>
      </c>
      <c r="H308" s="5">
        <v>588.306338</v>
      </c>
      <c r="I308" s="6">
        <v>41.8962</v>
      </c>
      <c r="J308" s="4">
        <v>0</v>
      </c>
      <c r="K308" s="7">
        <v>1.441</v>
      </c>
      <c r="L308" s="3">
        <v>114.19</v>
      </c>
      <c r="M308" s="3">
        <v>52.71</v>
      </c>
    </row>
    <row r="309" spans="1:13">
      <c r="A309" s="8" t="s">
        <v>320</v>
      </c>
      <c r="B309" s="2">
        <f>HYPERLINK("https://www.suredividend.com/sure-analysis-research-database/","BLACKSTONE MORTGAGE TRUST, INC.")</f>
        <v>0</v>
      </c>
      <c r="C309" s="1" t="s">
        <v>1961</v>
      </c>
      <c r="D309" s="3">
        <v>19.49</v>
      </c>
      <c r="E309" s="4">
        <v>0.1</v>
      </c>
      <c r="F309" s="4">
        <v>0.12137</v>
      </c>
      <c r="G309" s="3">
        <v>1.88</v>
      </c>
      <c r="H309" s="5">
        <v>3270.612774</v>
      </c>
      <c r="I309" s="6">
        <v>30.5094</v>
      </c>
      <c r="J309" s="4">
        <v>3.014187</v>
      </c>
      <c r="K309" s="7">
        <v>0.8635</v>
      </c>
      <c r="L309" s="3">
        <v>20.17</v>
      </c>
      <c r="M309" s="3">
        <v>15.34</v>
      </c>
    </row>
    <row r="310" spans="1:13">
      <c r="A310" s="8" t="s">
        <v>321</v>
      </c>
      <c r="B310" s="2">
        <f>HYPERLINK("https://www.suredividend.com/sure-analysis-research-database/","BYLINE BANCORP, INC.")</f>
        <v>0</v>
      </c>
      <c r="C310" s="1" t="s">
        <v>1962</v>
      </c>
      <c r="D310" s="3">
        <v>31.6</v>
      </c>
      <c r="E310" s="4">
        <v>0.01</v>
      </c>
      <c r="F310" s="4">
        <v>0.01195</v>
      </c>
      <c r="G310" s="3">
        <v>0.4</v>
      </c>
      <c r="H310" s="5">
        <v>1447.429381</v>
      </c>
      <c r="I310" s="6">
        <v>11.5012</v>
      </c>
      <c r="J310" s="4">
        <v>0.13973</v>
      </c>
      <c r="K310" s="7">
        <v>0.9821</v>
      </c>
      <c r="L310" s="3">
        <v>31.78</v>
      </c>
      <c r="M310" s="3">
        <v>22.37</v>
      </c>
    </row>
    <row r="311" spans="1:13">
      <c r="A311" s="8" t="s">
        <v>322</v>
      </c>
      <c r="B311" s="2">
        <f>HYPERLINK("https://www.suredividend.com/sure-analysis-research-database/","BEYOND MEAT, INC.")</f>
        <v>0</v>
      </c>
      <c r="C311" s="1" t="s">
        <v>1966</v>
      </c>
      <c r="D311" s="3">
        <v>0.9427</v>
      </c>
      <c r="F311" s="4">
        <v>0</v>
      </c>
      <c r="G311" s="3">
        <v>0</v>
      </c>
      <c r="H311" s="5">
        <v>424.496332</v>
      </c>
      <c r="J311" s="4">
        <v>0</v>
      </c>
      <c r="K311" s="7">
        <v>2.0309</v>
      </c>
      <c r="L311" s="3">
        <v>7.69</v>
      </c>
      <c r="M311" s="3">
        <v>0.5</v>
      </c>
    </row>
    <row r="312" spans="1:13">
      <c r="A312" s="8" t="s">
        <v>323</v>
      </c>
      <c r="B312" s="2">
        <f>HYPERLINK("https://www.suredividend.com/sure-analysis-research-database/","")</f>
        <v>0</v>
      </c>
      <c r="C312" s="1" t="s">
        <v>1959</v>
      </c>
      <c r="D312" s="3">
        <v>6.99</v>
      </c>
      <c r="F312" s="4">
        <v>0</v>
      </c>
      <c r="G312" s="3">
        <v>0</v>
      </c>
      <c r="H312" s="5">
        <v>483.984392</v>
      </c>
      <c r="J312" s="4">
        <v>0</v>
      </c>
      <c r="K312" s="7">
        <v>2.7655</v>
      </c>
      <c r="L312" s="3">
        <v>12.65</v>
      </c>
      <c r="M312" s="3">
        <v>3.54</v>
      </c>
    </row>
    <row r="313" spans="1:13">
      <c r="A313" s="8" t="s">
        <v>324</v>
      </c>
      <c r="B313" s="2">
        <f>HYPERLINK("https://www.suredividend.com/sure-analysis-research-database/","Byrna Technologies Inc.")</f>
        <v>0</v>
      </c>
      <c r="C313" s="1" t="s">
        <v>1964</v>
      </c>
      <c r="D313" s="3">
        <v>16.05</v>
      </c>
      <c r="F313" s="4">
        <v>0</v>
      </c>
      <c r="G313" s="3">
        <v>0</v>
      </c>
      <c r="H313" s="5">
        <v>359.744902</v>
      </c>
      <c r="I313" s="6">
        <v>22.4168</v>
      </c>
      <c r="J313" s="4">
        <v>0</v>
      </c>
      <c r="K313" s="7">
        <v>1.0842</v>
      </c>
      <c r="L313" s="3">
        <v>34.78</v>
      </c>
      <c r="M313" s="3">
        <v>13.68</v>
      </c>
    </row>
    <row r="314" spans="1:13">
      <c r="A314" s="8" t="s">
        <v>325</v>
      </c>
      <c r="B314" s="2">
        <f>HYPERLINK("https://www.suredividend.com/sure-analysis-research-database/","BEAZER HOMES USA INC")</f>
        <v>0</v>
      </c>
      <c r="C314" s="1" t="s">
        <v>1963</v>
      </c>
      <c r="D314" s="3">
        <v>24.34</v>
      </c>
      <c r="F314" s="4">
        <v>0</v>
      </c>
      <c r="G314" s="3">
        <v>0</v>
      </c>
      <c r="H314" s="5">
        <v>724.059584</v>
      </c>
      <c r="I314" s="6">
        <v>15.8827</v>
      </c>
      <c r="J314" s="4">
        <v>0</v>
      </c>
      <c r="L314" s="3">
        <v>29.3</v>
      </c>
      <c r="M314" s="3">
        <v>17.37</v>
      </c>
    </row>
    <row r="315" spans="1:13">
      <c r="A315" s="8" t="s">
        <v>326</v>
      </c>
      <c r="B315" s="2">
        <f>HYPERLINK("https://www.suredividend.com/sure-analysis-research-database/","Cabaletta Bio, Inc.")</f>
        <v>0</v>
      </c>
      <c r="C315" s="1" t="s">
        <v>1965</v>
      </c>
      <c r="D315" s="3">
        <v>2.64</v>
      </c>
      <c r="G315" s="3">
        <v>0</v>
      </c>
      <c r="H315" s="5">
        <v>225.260577</v>
      </c>
      <c r="J315" s="4">
        <v>0</v>
      </c>
    </row>
    <row r="316" spans="1:13">
      <c r="A316" s="8" t="s">
        <v>327</v>
      </c>
      <c r="B316" s="2">
        <f>HYPERLINK("https://www.suredividend.com/sure-analysis-research-database/","Cable One, Inc.")</f>
        <v>0</v>
      </c>
      <c r="C316" s="1" t="s">
        <v>1968</v>
      </c>
      <c r="D316" s="3">
        <v>84.34999999999999</v>
      </c>
      <c r="E316" s="4">
        <v>0.14</v>
      </c>
      <c r="F316" s="4">
        <v>0.09241000000000001</v>
      </c>
      <c r="G316" s="3">
        <v>0</v>
      </c>
      <c r="H316" s="5">
        <v>475.777994</v>
      </c>
    </row>
    <row r="317" spans="1:13">
      <c r="A317" s="8" t="s">
        <v>328</v>
      </c>
      <c r="B317" s="2">
        <f>HYPERLINK("https://www.suredividend.com/sure-analysis-research-database/","CAMDEN NATIONAL CORP")</f>
        <v>0</v>
      </c>
      <c r="C317" s="1" t="s">
        <v>1962</v>
      </c>
      <c r="D317" s="3">
        <v>47.14</v>
      </c>
      <c r="E317" s="4">
        <v>0.04</v>
      </c>
      <c r="F317" s="4">
        <v>0.03586</v>
      </c>
      <c r="G317" s="3">
        <v>0</v>
      </c>
      <c r="H317" s="5">
        <v>799.6597420000001</v>
      </c>
      <c r="I317" s="6">
        <v>13.9637</v>
      </c>
      <c r="J317" s="4">
        <v>0.479927</v>
      </c>
    </row>
    <row r="318" spans="1:13">
      <c r="A318" s="8" t="s">
        <v>329</v>
      </c>
      <c r="B318" s="2">
        <f>HYPERLINK("https://www.suredividend.com/sure-analysis-CADE/","Cadence Bank")</f>
        <v>0</v>
      </c>
      <c r="C318" s="1" t="s">
        <v>1962</v>
      </c>
      <c r="D318" s="3">
        <v>47.07</v>
      </c>
      <c r="E318" s="4">
        <v>0.02336944975568303</v>
      </c>
      <c r="F318" s="4">
        <v>0.02078</v>
      </c>
      <c r="G318" s="3">
        <v>0</v>
      </c>
      <c r="H318" s="5">
        <v>4196.721207</v>
      </c>
      <c r="I318" s="6">
        <v>27.3973</v>
      </c>
    </row>
    <row r="319" spans="1:13">
      <c r="A319" s="8" t="s">
        <v>330</v>
      </c>
      <c r="B319" s="2">
        <f>HYPERLINK("https://www.suredividend.com/sure-analysis-research-database/","Candel Therapeutics, Inc.")</f>
        <v>0</v>
      </c>
      <c r="C319" s="1" t="s">
        <v>1959</v>
      </c>
      <c r="D319" s="3">
        <v>6.31</v>
      </c>
      <c r="G319" s="3">
        <v>0</v>
      </c>
      <c r="H319" s="5">
        <v>345.859309</v>
      </c>
      <c r="J319" s="4">
        <v>0</v>
      </c>
    </row>
    <row r="320" spans="1:13">
      <c r="A320" s="8" t="s">
        <v>331</v>
      </c>
      <c r="B320" s="2">
        <f>HYPERLINK("https://www.suredividend.com/sure-analysis-research-database/","CHEESECAKE FACTORY INC")</f>
        <v>0</v>
      </c>
      <c r="C320" s="1" t="s">
        <v>1963</v>
      </c>
      <c r="D320" s="3">
        <v>60</v>
      </c>
      <c r="E320" s="4">
        <v>0.02</v>
      </c>
      <c r="F320" s="4">
        <v>0.01406</v>
      </c>
      <c r="G320" s="3">
        <v>0</v>
      </c>
      <c r="H320" s="5">
        <v>2982.028313</v>
      </c>
      <c r="I320" s="6">
        <v>18.5443</v>
      </c>
      <c r="J320" s="4">
        <v>0.327395</v>
      </c>
    </row>
    <row r="321" spans="1:13">
      <c r="A321" s="8" t="s">
        <v>332</v>
      </c>
      <c r="B321" s="2">
        <f>HYPERLINK("https://www.suredividend.com/sure-analysis-research-database/","CALERES INC")</f>
        <v>0</v>
      </c>
      <c r="C321" s="1" t="s">
        <v>1963</v>
      </c>
      <c r="D321" s="3">
        <v>13.89</v>
      </c>
      <c r="E321" s="4">
        <v>0.02</v>
      </c>
      <c r="F321" s="4">
        <v>0.02017</v>
      </c>
      <c r="G321" s="3">
        <v>0</v>
      </c>
      <c r="H321" s="5">
        <v>475.89369</v>
      </c>
      <c r="I321" s="6">
        <v>5.7158</v>
      </c>
      <c r="J321" s="4">
        <v>0.118333</v>
      </c>
    </row>
    <row r="322" spans="1:13">
      <c r="A322" s="8" t="s">
        <v>333</v>
      </c>
      <c r="B322" s="2">
        <f>HYPERLINK("https://www.suredividend.com/sure-analysis-research-database/","CAL-MAINE FOODS INC")</f>
        <v>0</v>
      </c>
      <c r="C322" s="1" t="s">
        <v>1966</v>
      </c>
      <c r="D322" s="3">
        <v>79.59999999999999</v>
      </c>
      <c r="F322" s="4">
        <v>0.04323</v>
      </c>
      <c r="G322" s="3">
        <v>0</v>
      </c>
      <c r="H322" s="5">
        <v>3788.496657</v>
      </c>
      <c r="I322" s="6">
        <v>3.2855</v>
      </c>
      <c r="J322" s="4">
        <v>0.367135</v>
      </c>
      <c r="L322" s="3">
        <v>121.72</v>
      </c>
      <c r="M322" s="3">
        <v>71.92</v>
      </c>
    </row>
    <row r="323" spans="1:13">
      <c r="A323" s="8" t="s">
        <v>334</v>
      </c>
      <c r="B323" s="2">
        <f>HYPERLINK("https://www.suredividend.com/sure-analysis-research-database/","CALIX, INC")</f>
        <v>0</v>
      </c>
      <c r="C323" s="1" t="s">
        <v>1960</v>
      </c>
      <c r="D323" s="3">
        <v>56.56</v>
      </c>
      <c r="G323" s="3">
        <v>0</v>
      </c>
      <c r="H323" s="5">
        <v>3743.95796</v>
      </c>
      <c r="J323" s="4">
        <v>0</v>
      </c>
      <c r="L323" s="3">
        <v>71.22</v>
      </c>
      <c r="M323" s="3">
        <v>28.61</v>
      </c>
    </row>
    <row r="324" spans="1:13">
      <c r="A324" s="8" t="s">
        <v>335</v>
      </c>
      <c r="B324" s="2">
        <f>HYPERLINK("https://www.suredividend.com/sure-analysis-research-database/","Camp4 Therapeutics Corp")</f>
        <v>0</v>
      </c>
      <c r="C324" s="1" t="s">
        <v>1960</v>
      </c>
      <c r="D324" s="3">
        <v>4.41</v>
      </c>
      <c r="G324" s="3">
        <v>0</v>
      </c>
      <c r="H324" s="5">
        <v>122.736245</v>
      </c>
      <c r="J324" s="4">
        <v>0</v>
      </c>
    </row>
    <row r="325" spans="1:13">
      <c r="A325" s="8" t="s">
        <v>336</v>
      </c>
      <c r="B325" s="2">
        <f>HYPERLINK("https://www.suredividend.com/sure-analysis-research-database/","CAPRICOR THERAPEUTICS, INC.")</f>
        <v>0</v>
      </c>
      <c r="C325" s="1" t="s">
        <v>1965</v>
      </c>
      <c r="D325" s="3">
        <v>24.31</v>
      </c>
      <c r="F325" s="4">
        <v>0</v>
      </c>
      <c r="G325" s="3">
        <v>0</v>
      </c>
      <c r="H325" s="5">
        <v>1111.416127</v>
      </c>
      <c r="J325" s="4">
        <v>0</v>
      </c>
      <c r="K325" s="7">
        <v>1.775</v>
      </c>
    </row>
    <row r="326" spans="1:13">
      <c r="A326" s="8" t="s">
        <v>337</v>
      </c>
      <c r="B326" s="2">
        <f>HYPERLINK("https://www.suredividend.com/sure-analysis-research-database/","Carter Bankshares, Inc.")</f>
        <v>0</v>
      </c>
      <c r="C326" s="1" t="s">
        <v>1962</v>
      </c>
      <c r="D326" s="3">
        <v>20.89</v>
      </c>
      <c r="F326" s="4">
        <v>0</v>
      </c>
      <c r="G326" s="3">
        <v>0.14</v>
      </c>
      <c r="H326" s="5">
        <v>461.61922</v>
      </c>
      <c r="I326" s="6">
        <v>14.8135</v>
      </c>
      <c r="J326" s="4">
        <v>0</v>
      </c>
      <c r="K326" s="7">
        <v>0.7864</v>
      </c>
      <c r="L326" s="3">
        <v>21.09</v>
      </c>
      <c r="M326" s="3">
        <v>13.61</v>
      </c>
    </row>
    <row r="327" spans="1:13">
      <c r="A327" s="8" t="s">
        <v>338</v>
      </c>
      <c r="B327" s="2">
        <f>HYPERLINK("https://www.suredividend.com/sure-analysis-research-database/","CarGurus, Inc.")</f>
        <v>0</v>
      </c>
      <c r="C327" s="1" t="s">
        <v>1968</v>
      </c>
      <c r="D327" s="3">
        <v>33.67</v>
      </c>
      <c r="F327" s="4">
        <v>0</v>
      </c>
      <c r="G327" s="3">
        <v>0</v>
      </c>
      <c r="H327" s="5">
        <v>3212.954847</v>
      </c>
      <c r="I327" s="6">
        <v>21.1398</v>
      </c>
      <c r="J327" s="4">
        <v>0</v>
      </c>
      <c r="K327" s="7">
        <v>1.2129</v>
      </c>
      <c r="L327" s="3">
        <v>41.33</v>
      </c>
      <c r="M327" s="3">
        <v>24.65</v>
      </c>
    </row>
    <row r="328" spans="1:13">
      <c r="A328" s="8" t="s">
        <v>339</v>
      </c>
      <c r="B328" s="2">
        <f>HYPERLINK("https://www.suredividend.com/sure-analysis-research-database/","Cars.com Inc.")</f>
        <v>0</v>
      </c>
      <c r="C328" s="1" t="s">
        <v>1963</v>
      </c>
      <c r="D328" s="3">
        <v>11.99</v>
      </c>
      <c r="F328" s="4">
        <v>0</v>
      </c>
      <c r="G328" s="3">
        <v>0</v>
      </c>
      <c r="H328" s="5">
        <v>717.759216</v>
      </c>
      <c r="I328" s="6">
        <v>23.9588</v>
      </c>
      <c r="J328" s="4">
        <v>0</v>
      </c>
      <c r="K328" s="7">
        <v>1.4012</v>
      </c>
      <c r="L328" s="3">
        <v>19</v>
      </c>
      <c r="M328" s="3">
        <v>9.56</v>
      </c>
    </row>
    <row r="329" spans="1:13">
      <c r="A329" s="8" t="s">
        <v>340</v>
      </c>
      <c r="B329" s="2">
        <f>HYPERLINK("https://www.suredividend.com/sure-analysis-research-database/","PATHWARD FINANCIAL, INC.")</f>
        <v>0</v>
      </c>
      <c r="C329" s="1" t="s">
        <v>1962</v>
      </c>
      <c r="D329" s="3">
        <v>77.25</v>
      </c>
      <c r="F329" s="4">
        <v>0.00274</v>
      </c>
      <c r="G329" s="3">
        <v>0.2</v>
      </c>
      <c r="H329" s="5">
        <v>1725.688214</v>
      </c>
      <c r="I329" s="6">
        <v>9.2843</v>
      </c>
      <c r="J329" s="4">
        <v>0.025087</v>
      </c>
      <c r="K329" s="7">
        <v>0.9679</v>
      </c>
      <c r="L329" s="3">
        <v>85.83</v>
      </c>
      <c r="M329" s="3">
        <v>64.31999999999999</v>
      </c>
    </row>
    <row r="330" spans="1:13">
      <c r="A330" s="8" t="s">
        <v>341</v>
      </c>
      <c r="B330" s="2">
        <f>HYPERLINK("https://www.suredividend.com/sure-analysis-CASS/","CASS INFORMATION SYSTEMS INC")</f>
        <v>0</v>
      </c>
      <c r="C330" s="1" t="s">
        <v>1964</v>
      </c>
      <c r="D330" s="3">
        <v>42.87</v>
      </c>
      <c r="E330" s="4">
        <v>0.02985770935386051</v>
      </c>
      <c r="F330" s="4">
        <v>0.02877</v>
      </c>
      <c r="G330" s="3">
        <v>1.25</v>
      </c>
      <c r="H330" s="5">
        <v>561.577255</v>
      </c>
      <c r="I330" s="6">
        <v>16.1917</v>
      </c>
      <c r="J330" s="4">
        <v>0.52584</v>
      </c>
      <c r="K330" s="7">
        <v>0.6629</v>
      </c>
      <c r="L330" s="3">
        <v>46.32</v>
      </c>
      <c r="M330" s="3">
        <v>35.81</v>
      </c>
    </row>
    <row r="331" spans="1:13">
      <c r="A331" s="8" t="s">
        <v>342</v>
      </c>
      <c r="B331" s="2">
        <f>HYPERLINK("https://www.suredividend.com/sure-analysis-research-database/","Perspective Therapeutics, Inc.")</f>
        <v>0</v>
      </c>
      <c r="C331" s="1" t="s">
        <v>1959</v>
      </c>
      <c r="D331" s="3">
        <v>2.55</v>
      </c>
      <c r="F331" s="4">
        <v>0</v>
      </c>
      <c r="G331" s="3">
        <v>0</v>
      </c>
      <c r="H331" s="5">
        <v>189.561875</v>
      </c>
      <c r="J331" s="4">
        <v>0</v>
      </c>
      <c r="K331" s="7">
        <v>0.9903</v>
      </c>
      <c r="L331" s="3">
        <v>5.39</v>
      </c>
      <c r="M331" s="3">
        <v>1.6</v>
      </c>
    </row>
    <row r="332" spans="1:13">
      <c r="A332" s="8" t="s">
        <v>343</v>
      </c>
      <c r="B332" s="2">
        <f>HYPERLINK("https://www.suredividend.com/sure-analysis-research-database/","CATHAY GENERAL BANCORP")</f>
        <v>0</v>
      </c>
      <c r="C332" s="1" t="s">
        <v>1962</v>
      </c>
      <c r="D332" s="3">
        <v>52.96</v>
      </c>
      <c r="E332" s="4">
        <v>0.03</v>
      </c>
      <c r="F332" s="4">
        <v>0.02694</v>
      </c>
      <c r="G332" s="3">
        <v>1.36</v>
      </c>
      <c r="H332" s="5">
        <v>3567.840038</v>
      </c>
      <c r="I332" s="6">
        <v>11.7052</v>
      </c>
      <c r="J332" s="4">
        <v>0.312023</v>
      </c>
      <c r="L332" s="3">
        <v>52.61</v>
      </c>
      <c r="M332" s="3">
        <v>35.28</v>
      </c>
    </row>
    <row r="333" spans="1:13">
      <c r="A333" s="8" t="s">
        <v>344</v>
      </c>
      <c r="B333" s="2">
        <f>HYPERLINK("https://www.suredividend.com/sure-analysis-CBAN/","COLONY BANKCORP INC")</f>
        <v>0</v>
      </c>
      <c r="C333" s="1" t="s">
        <v>1962</v>
      </c>
      <c r="D333" s="3">
        <v>19.29</v>
      </c>
      <c r="E333" s="4">
        <v>0.02384655261793676</v>
      </c>
      <c r="F333" s="4">
        <v>0.0245</v>
      </c>
      <c r="G333" s="3">
        <v>0</v>
      </c>
      <c r="H333" s="5">
        <v>336.488398</v>
      </c>
      <c r="I333" s="6">
        <v>12.0856</v>
      </c>
      <c r="J333" s="4">
        <v>0.287479</v>
      </c>
    </row>
    <row r="334" spans="1:13">
      <c r="A334" s="8" t="s">
        <v>345</v>
      </c>
      <c r="B334" s="2">
        <f>HYPERLINK("https://www.suredividend.com/sure-analysis-research-database/","CBL &amp; ASSOCIATES PROPERTIES INC")</f>
        <v>0</v>
      </c>
      <c r="C334" s="1" t="s">
        <v>1961</v>
      </c>
      <c r="D334" s="3">
        <v>36.05</v>
      </c>
      <c r="E334" s="4">
        <v>0.07000000000000001</v>
      </c>
      <c r="F334" s="4">
        <v>0.04589</v>
      </c>
      <c r="G334" s="3">
        <v>0</v>
      </c>
      <c r="H334" s="5">
        <v>1107.028857</v>
      </c>
      <c r="I334" s="6">
        <v>9.0244</v>
      </c>
      <c r="J334" s="4">
        <v>0.616019</v>
      </c>
      <c r="L334" s="3">
        <v>38.67</v>
      </c>
      <c r="M334" s="3">
        <v>20.19</v>
      </c>
    </row>
    <row r="335" spans="1:13">
      <c r="A335" s="8" t="s">
        <v>346</v>
      </c>
      <c r="B335" s="2">
        <f>HYPERLINK("https://www.suredividend.com/sure-analysis-research-database/","Ceribell, Inc.")</f>
        <v>0</v>
      </c>
      <c r="C335" s="1" t="s">
        <v>1959</v>
      </c>
      <c r="D335" s="3">
        <v>22.18</v>
      </c>
      <c r="G335" s="3">
        <v>0</v>
      </c>
      <c r="H335" s="5">
        <v>815.641303</v>
      </c>
      <c r="J335" s="4">
        <v>0</v>
      </c>
    </row>
    <row r="336" spans="1:13">
      <c r="A336" s="8" t="s">
        <v>347</v>
      </c>
      <c r="B336" s="2">
        <f>HYPERLINK("https://www.suredividend.com/sure-analysis-research-database/","Capital Bancorp Inc")</f>
        <v>0</v>
      </c>
      <c r="C336" s="1" t="s">
        <v>1962</v>
      </c>
      <c r="D336" s="3">
        <v>30.33</v>
      </c>
      <c r="E336" s="4">
        <v>0.01</v>
      </c>
      <c r="F336" s="4">
        <v>0.0097</v>
      </c>
      <c r="G336" s="3">
        <v>0</v>
      </c>
      <c r="H336" s="5">
        <v>501.077775</v>
      </c>
      <c r="I336" s="6">
        <v>10.0889</v>
      </c>
      <c r="J336" s="4">
        <v>0.140378</v>
      </c>
    </row>
    <row r="337" spans="1:13">
      <c r="A337" s="8" t="s">
        <v>348</v>
      </c>
      <c r="B337" s="2">
        <f>HYPERLINK("https://www.suredividend.com/sure-analysis-research-database/","CRACKER BARREL OLD COUNTRY STORE, INC")</f>
        <v>0</v>
      </c>
      <c r="C337" s="1" t="s">
        <v>1963</v>
      </c>
      <c r="D337" s="3">
        <v>32.45</v>
      </c>
      <c r="E337" s="4">
        <v>0.03</v>
      </c>
      <c r="F337" s="4">
        <v>0.11144</v>
      </c>
      <c r="G337" s="3">
        <v>0</v>
      </c>
      <c r="H337" s="5">
        <v>725.216526</v>
      </c>
      <c r="I337" s="6">
        <v>42.8792</v>
      </c>
      <c r="J337" s="4">
        <v>1.375392</v>
      </c>
    </row>
    <row r="338" spans="1:13">
      <c r="A338" s="8" t="s">
        <v>349</v>
      </c>
      <c r="B338" s="2">
        <f>HYPERLINK("https://www.suredividend.com/sure-analysis-CBT/","CABOT CORP")</f>
        <v>0</v>
      </c>
      <c r="C338" s="1" t="s">
        <v>1970</v>
      </c>
      <c r="D338" s="3">
        <v>72.535</v>
      </c>
      <c r="E338" s="4">
        <v>0.02481560625904736</v>
      </c>
      <c r="F338" s="4">
        <v>0.02266</v>
      </c>
      <c r="G338" s="3">
        <v>0</v>
      </c>
      <c r="H338" s="5">
        <v>3835.16126</v>
      </c>
      <c r="I338" s="6">
        <v>11.5866</v>
      </c>
      <c r="J338" s="4">
        <v>0.406915</v>
      </c>
    </row>
    <row r="339" spans="1:13">
      <c r="A339" s="8" t="s">
        <v>350</v>
      </c>
      <c r="B339" s="2">
        <f>HYPERLINK("https://www.suredividend.com/sure-analysis-CBU/","COMMUNITY FINANCIAL SYSTEM, INC.")</f>
        <v>0</v>
      </c>
      <c r="C339" s="1" t="s">
        <v>1962</v>
      </c>
      <c r="D339" s="3">
        <v>64.04000000000001</v>
      </c>
      <c r="E339" s="4">
        <v>0.02935665209244222</v>
      </c>
      <c r="F339" s="4">
        <v>0.0293</v>
      </c>
      <c r="G339" s="3">
        <v>0</v>
      </c>
      <c r="H339" s="5">
        <v>3374.548215</v>
      </c>
      <c r="I339" s="6">
        <v>16.3952</v>
      </c>
      <c r="J339" s="4">
        <v>0.471248</v>
      </c>
      <c r="L339" s="3">
        <v>65.95999999999999</v>
      </c>
      <c r="M339" s="3">
        <v>48.28</v>
      </c>
    </row>
    <row r="340" spans="1:13">
      <c r="A340" s="8" t="s">
        <v>351</v>
      </c>
      <c r="B340" s="2">
        <f>HYPERLINK("https://www.suredividend.com/sure-analysis-research-database/","Cibus, Inc.")</f>
        <v>0</v>
      </c>
      <c r="C340" s="1" t="s">
        <v>1959</v>
      </c>
      <c r="D340" s="3">
        <v>1.55</v>
      </c>
      <c r="G340" s="3">
        <v>0</v>
      </c>
      <c r="H340" s="5">
        <v>81.96749800000001</v>
      </c>
      <c r="J340" s="4">
        <v>0</v>
      </c>
    </row>
    <row r="341" spans="1:13">
      <c r="A341" s="8" t="s">
        <v>352</v>
      </c>
      <c r="B341" s="2">
        <f>HYPERLINK("https://www.suredividend.com/sure-analysis-research-database/","CBIZ, Inc.")</f>
        <v>0</v>
      </c>
      <c r="C341" s="1" t="s">
        <v>1964</v>
      </c>
      <c r="D341" s="3">
        <v>44.93</v>
      </c>
      <c r="G341" s="3">
        <v>0</v>
      </c>
      <c r="H341" s="5">
        <v>2446.432037</v>
      </c>
      <c r="I341" s="6">
        <v>23.4922</v>
      </c>
      <c r="J341" s="4">
        <v>0</v>
      </c>
    </row>
    <row r="342" spans="1:13">
      <c r="A342" s="8" t="s">
        <v>353</v>
      </c>
      <c r="B342" s="2">
        <f>HYPERLINK("https://www.suredividend.com/sure-analysis-research-database/","COASTAL FINANCIAL CORP")</f>
        <v>0</v>
      </c>
      <c r="C342" s="1" t="s">
        <v>1962</v>
      </c>
      <c r="D342" s="3">
        <v>114.04</v>
      </c>
      <c r="G342" s="3">
        <v>0</v>
      </c>
      <c r="H342" s="5">
        <v>1726.545809</v>
      </c>
      <c r="I342" s="6">
        <v>11.7943</v>
      </c>
      <c r="J342" s="4">
        <v>0</v>
      </c>
      <c r="L342" s="3">
        <v>120.05</v>
      </c>
      <c r="M342" s="3">
        <v>76.11</v>
      </c>
    </row>
    <row r="343" spans="1:13">
      <c r="A343" s="8" t="s">
        <v>354</v>
      </c>
      <c r="B343" s="2">
        <f>HYPERLINK("https://www.suredividend.com/sure-analysis-CCBG/","CAPITAL CITY BANK GROUP INC")</f>
        <v>0</v>
      </c>
      <c r="C343" s="1" t="s">
        <v>1962</v>
      </c>
      <c r="D343" s="3">
        <v>45.98</v>
      </c>
      <c r="E343" s="4">
        <v>0.02261852979556329</v>
      </c>
      <c r="F343" s="4">
        <v>0.01837</v>
      </c>
      <c r="G343" s="3">
        <v>0</v>
      </c>
      <c r="H343" s="5">
        <v>784.824574</v>
      </c>
      <c r="I343" s="6">
        <v>12.9013</v>
      </c>
      <c r="J343" s="4">
        <v>0.271312</v>
      </c>
      <c r="L343" s="3">
        <v>45.63</v>
      </c>
      <c r="M343" s="3">
        <v>31.78</v>
      </c>
    </row>
    <row r="344" spans="1:13">
      <c r="A344" s="8" t="s">
        <v>355</v>
      </c>
      <c r="B344" s="2">
        <f>HYPERLINK("https://www.suredividend.com/sure-analysis-research-database/","C4 Therapeutics, Inc.")</f>
        <v>0</v>
      </c>
      <c r="C344" s="1" t="s">
        <v>1959</v>
      </c>
      <c r="D344" s="3">
        <v>2.115</v>
      </c>
      <c r="G344" s="3">
        <v>0</v>
      </c>
      <c r="H344" s="5">
        <v>205.458566</v>
      </c>
      <c r="J344" s="4">
        <v>0</v>
      </c>
      <c r="K344" s="7">
        <v>3.1793</v>
      </c>
    </row>
    <row r="345" spans="1:13">
      <c r="A345" s="8" t="s">
        <v>356</v>
      </c>
      <c r="B345" s="2">
        <f>HYPERLINK("https://www.suredividend.com/sure-analysis-research-database/","CNB FINANCIAL CORP/PA")</f>
        <v>0</v>
      </c>
      <c r="C345" s="1" t="s">
        <v>1962</v>
      </c>
      <c r="D345" s="3">
        <v>28.04</v>
      </c>
      <c r="E345" s="4">
        <v>0.03</v>
      </c>
      <c r="F345" s="4">
        <v>0.0268</v>
      </c>
      <c r="G345" s="3">
        <v>0.72</v>
      </c>
      <c r="H345" s="5">
        <v>827.103294</v>
      </c>
      <c r="I345" s="6">
        <v>19.1264</v>
      </c>
      <c r="J345" s="4">
        <v>0.440941</v>
      </c>
      <c r="K345" s="7">
        <v>0.9705</v>
      </c>
      <c r="L345" s="3">
        <v>28.04</v>
      </c>
      <c r="M345" s="3">
        <v>18.9</v>
      </c>
    </row>
    <row r="346" spans="1:13">
      <c r="A346" s="8" t="s">
        <v>357</v>
      </c>
      <c r="B346" s="2">
        <f>HYPERLINK("https://www.suredividend.com/sure-analysis-research-database/","Clear Channel Outdoor Holdings, Inc.")</f>
        <v>0</v>
      </c>
      <c r="C346" s="1" t="s">
        <v>1968</v>
      </c>
      <c r="D346" s="3">
        <v>2.075</v>
      </c>
      <c r="F346" s="4">
        <v>0</v>
      </c>
      <c r="G346" s="3">
        <v>0</v>
      </c>
      <c r="H346" s="5">
        <v>1034.394785</v>
      </c>
      <c r="K346" s="7">
        <v>1.7903</v>
      </c>
      <c r="L346" s="3">
        <v>2.26</v>
      </c>
      <c r="M346" s="3">
        <v>0.8100000000000001</v>
      </c>
    </row>
    <row r="347" spans="1:13">
      <c r="A347" s="8" t="s">
        <v>358</v>
      </c>
      <c r="B347" s="2">
        <f>HYPERLINK("https://www.suredividend.com/sure-analysis-research-database/","COGENT COMMUNICATIONS HOLDINGS, INC.")</f>
        <v>0</v>
      </c>
      <c r="C347" s="1" t="s">
        <v>1968</v>
      </c>
      <c r="D347" s="3">
        <v>23.75</v>
      </c>
      <c r="E347" s="4">
        <v>0.13</v>
      </c>
      <c r="F347" s="4">
        <v>0.16848</v>
      </c>
      <c r="G347" s="3">
        <v>3.05</v>
      </c>
      <c r="H347" s="5">
        <v>1165.153891</v>
      </c>
      <c r="J347" s="4">
        <v>2.599687</v>
      </c>
      <c r="K347" s="7">
        <v>0.7112000000000001</v>
      </c>
      <c r="L347" s="3">
        <v>78.75</v>
      </c>
      <c r="M347" s="3">
        <v>15.94</v>
      </c>
    </row>
    <row r="348" spans="1:13">
      <c r="A348" s="8" t="s">
        <v>359</v>
      </c>
      <c r="B348" s="2">
        <f>HYPERLINK("https://www.suredividend.com/sure-analysis-research-database/","CROSS COUNTRY HEALTHCARE INC")</f>
        <v>0</v>
      </c>
      <c r="C348" s="1" t="s">
        <v>1964</v>
      </c>
      <c r="D348" s="3">
        <v>8.859999999999999</v>
      </c>
      <c r="F348" s="4">
        <v>0</v>
      </c>
      <c r="G348" s="3">
        <v>0</v>
      </c>
      <c r="H348" s="5">
        <v>290.253175</v>
      </c>
      <c r="J348" s="4">
        <v>0</v>
      </c>
      <c r="K348" s="7">
        <v>0.2497</v>
      </c>
      <c r="L348" s="3">
        <v>18.3</v>
      </c>
      <c r="M348" s="3">
        <v>7.43</v>
      </c>
    </row>
    <row r="349" spans="1:13">
      <c r="A349" s="8" t="s">
        <v>360</v>
      </c>
      <c r="B349" s="2">
        <f>HYPERLINK("https://www.suredividend.com/sure-analysis-research-database/","Century Communities, Inc.")</f>
        <v>0</v>
      </c>
      <c r="C349" s="1" t="s">
        <v>1963</v>
      </c>
      <c r="D349" s="3">
        <v>69.09</v>
      </c>
      <c r="E349" s="4">
        <v>0.02</v>
      </c>
      <c r="F349" s="4">
        <v>0.01516</v>
      </c>
      <c r="G349" s="3">
        <v>1.16</v>
      </c>
      <c r="H349" s="5">
        <v>2030.160527</v>
      </c>
      <c r="K349" s="7">
        <v>1.0363</v>
      </c>
      <c r="L349" s="3">
        <v>79.64</v>
      </c>
      <c r="M349" s="3">
        <v>49.97</v>
      </c>
    </row>
    <row r="350" spans="1:13">
      <c r="A350" s="8" t="s">
        <v>361</v>
      </c>
      <c r="B350" s="2">
        <f>HYPERLINK("https://www.suredividend.com/sure-analysis-research-database/","Consensus Cloud Solutions, Inc.")</f>
        <v>0</v>
      </c>
      <c r="C350" s="1" t="s">
        <v>1959</v>
      </c>
      <c r="D350" s="3">
        <v>21.51</v>
      </c>
      <c r="F350" s="4">
        <v>0</v>
      </c>
      <c r="G350" s="3">
        <v>0</v>
      </c>
      <c r="H350" s="5">
        <v>409.66948</v>
      </c>
      <c r="I350" s="6">
        <v>4.9902</v>
      </c>
      <c r="J350" s="4">
        <v>0</v>
      </c>
      <c r="K350" s="7">
        <v>1.2411</v>
      </c>
      <c r="L350" s="3">
        <v>32.1</v>
      </c>
      <c r="M350" s="3">
        <v>17.84</v>
      </c>
    </row>
    <row r="351" spans="1:13">
      <c r="A351" s="8" t="s">
        <v>362</v>
      </c>
      <c r="B351" s="2">
        <f>HYPERLINK("https://www.suredividend.com/sure-analysis-research-database/","Coeur Mining, Inc.")</f>
        <v>0</v>
      </c>
      <c r="C351" s="1" t="s">
        <v>1970</v>
      </c>
      <c r="D351" s="3">
        <v>22.95</v>
      </c>
      <c r="F351" s="4">
        <v>0</v>
      </c>
      <c r="G351" s="3">
        <v>1.5</v>
      </c>
      <c r="H351" s="5">
        <v>14713.211448</v>
      </c>
      <c r="I351" s="6">
        <v>35.9952</v>
      </c>
      <c r="J351" s="4">
        <v>0</v>
      </c>
      <c r="K351" s="7">
        <v>1.9337</v>
      </c>
      <c r="L351" s="3">
        <v>23.63</v>
      </c>
      <c r="M351" s="3">
        <v>4.58</v>
      </c>
    </row>
    <row r="352" spans="1:13">
      <c r="A352" s="8" t="s">
        <v>363</v>
      </c>
      <c r="B352" s="2">
        <f>HYPERLINK("https://www.suredividend.com/sure-analysis-research-database/","Cardlytics, Inc.")</f>
        <v>0</v>
      </c>
      <c r="C352" s="1" t="s">
        <v>1968</v>
      </c>
      <c r="D352" s="3">
        <v>1.19</v>
      </c>
      <c r="F352" s="4">
        <v>0</v>
      </c>
      <c r="G352" s="3">
        <v>0</v>
      </c>
      <c r="H352" s="5">
        <v>63.246161</v>
      </c>
      <c r="J352" s="4">
        <v>0</v>
      </c>
      <c r="L352" s="3">
        <v>4.05</v>
      </c>
      <c r="M352" s="3">
        <v>0.85</v>
      </c>
    </row>
    <row r="353" spans="1:13">
      <c r="A353" s="8" t="s">
        <v>364</v>
      </c>
      <c r="B353" s="2">
        <f>HYPERLINK("https://www.suredividend.com/sure-analysis-research-database/","CareDx, Inc.")</f>
        <v>0</v>
      </c>
      <c r="C353" s="1" t="s">
        <v>1965</v>
      </c>
      <c r="D353" s="3">
        <v>20.85</v>
      </c>
      <c r="G353" s="3">
        <v>0</v>
      </c>
      <c r="H353" s="5">
        <v>1071.34187</v>
      </c>
      <c r="I353" s="6">
        <v>15.2069</v>
      </c>
      <c r="J353" s="4">
        <v>0</v>
      </c>
    </row>
    <row r="354" spans="1:13">
      <c r="A354" s="8" t="s">
        <v>365</v>
      </c>
      <c r="B354" s="2">
        <f>HYPERLINK("https://www.suredividend.com/sure-analysis-CDP/","COPT DEFENSE PROPERTIES")</f>
        <v>0</v>
      </c>
      <c r="C354" s="1" t="s">
        <v>1959</v>
      </c>
      <c r="D354" s="3">
        <v>30.34</v>
      </c>
      <c r="E354" s="4">
        <v>0.04021094264996704</v>
      </c>
      <c r="F354" s="4">
        <v>0.04068</v>
      </c>
      <c r="G354" s="3">
        <v>0</v>
      </c>
      <c r="H354" s="5">
        <v>3433.677316</v>
      </c>
      <c r="I354" s="6">
        <v>22.9011</v>
      </c>
      <c r="J354" s="4">
        <v>0.879155</v>
      </c>
    </row>
    <row r="355" spans="1:13">
      <c r="A355" s="8" t="s">
        <v>366</v>
      </c>
      <c r="B355" s="2">
        <f>HYPERLINK("https://www.suredividend.com/sure-analysis-research-database/","Cadre Holdings, Inc.")</f>
        <v>0</v>
      </c>
      <c r="C355" s="1" t="s">
        <v>1959</v>
      </c>
      <c r="D355" s="3">
        <v>44.4</v>
      </c>
      <c r="E355" s="4">
        <v>0.01</v>
      </c>
      <c r="F355" s="4">
        <v>0.00668</v>
      </c>
      <c r="G355" s="3">
        <v>0</v>
      </c>
      <c r="H355" s="5">
        <v>1816.047273</v>
      </c>
      <c r="I355" s="6">
        <v>40.016</v>
      </c>
      <c r="J355" s="4">
        <v>0.333539</v>
      </c>
    </row>
    <row r="356" spans="1:13">
      <c r="A356" s="8" t="s">
        <v>367</v>
      </c>
      <c r="B356" s="2">
        <f>HYPERLINK("https://www.suredividend.com/sure-analysis-research-database/","CODEXIS, INC.")</f>
        <v>0</v>
      </c>
      <c r="C356" s="1" t="s">
        <v>1965</v>
      </c>
      <c r="D356" s="3">
        <v>1.81</v>
      </c>
      <c r="G356" s="3">
        <v>0</v>
      </c>
      <c r="H356" s="5">
        <v>154.32921</v>
      </c>
      <c r="J356" s="4">
        <v>0</v>
      </c>
    </row>
    <row r="357" spans="1:13">
      <c r="A357" s="8" t="s">
        <v>368</v>
      </c>
      <c r="B357" s="2">
        <f>HYPERLINK("https://www.suredividend.com/sure-analysis-research-database/","CADIZ INC")</f>
        <v>0</v>
      </c>
      <c r="C357" s="1" t="s">
        <v>1967</v>
      </c>
      <c r="D357" s="3">
        <v>6.675</v>
      </c>
      <c r="G357" s="3">
        <v>0</v>
      </c>
      <c r="H357" s="5">
        <v>555.175328</v>
      </c>
    </row>
    <row r="358" spans="1:13">
      <c r="A358" s="8" t="s">
        <v>369</v>
      </c>
      <c r="B358" s="2">
        <f>HYPERLINK("https://www.suredividend.com/sure-analysis-research-database/","CECO ENVIRONMENTAL CORP")</f>
        <v>0</v>
      </c>
      <c r="C358" s="1" t="s">
        <v>1959</v>
      </c>
      <c r="D358" s="3">
        <v>67.23999999999999</v>
      </c>
      <c r="G358" s="3">
        <v>0</v>
      </c>
      <c r="H358" s="5">
        <v>2372.979844</v>
      </c>
      <c r="I358" s="6">
        <v>45.7477</v>
      </c>
      <c r="J358" s="4">
        <v>0.03018</v>
      </c>
    </row>
    <row r="359" spans="1:13">
      <c r="A359" s="8" t="s">
        <v>370</v>
      </c>
      <c r="B359" s="2">
        <f>HYPERLINK("https://www.suredividend.com/sure-analysis-research-database/","Celcuity Inc.")</f>
        <v>0</v>
      </c>
      <c r="C359" s="1" t="s">
        <v>1965</v>
      </c>
      <c r="D359" s="3">
        <v>107.25</v>
      </c>
      <c r="G359" s="3">
        <v>0</v>
      </c>
      <c r="H359" s="5">
        <v>4958.428114</v>
      </c>
      <c r="J359" s="4">
        <v>0</v>
      </c>
    </row>
    <row r="360" spans="1:13">
      <c r="A360" s="8" t="s">
        <v>371</v>
      </c>
      <c r="B360" s="2">
        <f>HYPERLINK("https://www.suredividend.com/sure-analysis-research-database/","CENTRAL GARDEN &amp; PET CO")</f>
        <v>0</v>
      </c>
      <c r="C360" s="1" t="s">
        <v>1966</v>
      </c>
      <c r="D360" s="3">
        <v>32.27</v>
      </c>
      <c r="G360" s="3">
        <v>0</v>
      </c>
      <c r="H360" s="5">
        <v>2013.969731</v>
      </c>
      <c r="I360" s="6">
        <v>12.3676</v>
      </c>
      <c r="J360" s="4">
        <v>0.008208999999999999</v>
      </c>
      <c r="L360" s="3">
        <v>41.25</v>
      </c>
      <c r="M360" s="3">
        <v>28.77</v>
      </c>
    </row>
    <row r="361" spans="1:13">
      <c r="A361" s="8" t="s">
        <v>372</v>
      </c>
      <c r="B361" s="2">
        <f>HYPERLINK("https://www.suredividend.com/sure-analysis-research-database/","CENTRAL GARDEN &amp; PET CO")</f>
        <v>0</v>
      </c>
      <c r="C361" s="1" t="s">
        <v>1966</v>
      </c>
      <c r="D361" s="3">
        <v>29.355</v>
      </c>
      <c r="G361" s="3">
        <v>0</v>
      </c>
      <c r="H361" s="5">
        <v>2013.969731</v>
      </c>
      <c r="I361" s="6">
        <v>12.3676</v>
      </c>
      <c r="J361" s="4">
        <v>0.008208999999999999</v>
      </c>
      <c r="L361" s="3">
        <v>37.35</v>
      </c>
      <c r="M361" s="3">
        <v>25.97</v>
      </c>
    </row>
    <row r="362" spans="1:13">
      <c r="A362" s="8" t="s">
        <v>373</v>
      </c>
      <c r="B362" s="2">
        <f>HYPERLINK("https://www.suredividend.com/sure-analysis-research-database/","CENTURY ALUMINUM CO")</f>
        <v>0</v>
      </c>
      <c r="C362" s="1" t="s">
        <v>1970</v>
      </c>
      <c r="D362" s="3">
        <v>48.49</v>
      </c>
      <c r="G362" s="3">
        <v>0</v>
      </c>
      <c r="H362" s="5">
        <v>4457.07902</v>
      </c>
      <c r="I362" s="6">
        <v>55.2302</v>
      </c>
      <c r="J362" s="4">
        <v>0</v>
      </c>
      <c r="L362" s="3">
        <v>49.67</v>
      </c>
      <c r="M362" s="3">
        <v>13.05</v>
      </c>
    </row>
    <row r="363" spans="1:13">
      <c r="A363" s="8" t="s">
        <v>374</v>
      </c>
      <c r="B363" s="2">
        <f>HYPERLINK("https://www.suredividend.com/sure-analysis-research-database/","CERUS CORP")</f>
        <v>0</v>
      </c>
      <c r="C363" s="1" t="s">
        <v>1965</v>
      </c>
      <c r="D363" s="3">
        <v>2.535</v>
      </c>
      <c r="G363" s="3">
        <v>0</v>
      </c>
      <c r="H363" s="5">
        <v>485.981378</v>
      </c>
      <c r="J363" s="4">
        <v>0</v>
      </c>
      <c r="K363" s="7">
        <v>2.1836</v>
      </c>
      <c r="L363" s="3">
        <v>2.96</v>
      </c>
      <c r="M363" s="3">
        <v>1.12</v>
      </c>
    </row>
    <row r="364" spans="1:13">
      <c r="A364" s="8" t="s">
        <v>375</v>
      </c>
      <c r="B364" s="2">
        <f>HYPERLINK("https://www.suredividend.com/sure-analysis-research-database/","CEVA INC")</f>
        <v>0</v>
      </c>
      <c r="C364" s="1" t="s">
        <v>1960</v>
      </c>
      <c r="D364" s="3">
        <v>23.91</v>
      </c>
      <c r="F364" s="4">
        <v>0</v>
      </c>
      <c r="G364" s="3">
        <v>0</v>
      </c>
      <c r="H364" s="5">
        <v>566.820198</v>
      </c>
      <c r="J364" s="4">
        <v>0</v>
      </c>
      <c r="K364" s="7">
        <v>2.1704</v>
      </c>
      <c r="L364" s="3">
        <v>38.94</v>
      </c>
      <c r="M364" s="3">
        <v>18.23</v>
      </c>
    </row>
    <row r="365" spans="1:13">
      <c r="A365" s="8" t="s">
        <v>376</v>
      </c>
      <c r="B365" s="2">
        <f>HYPERLINK("https://www.suredividend.com/sure-analysis-research-database/","Capitol Federal Financial, Inc.")</f>
        <v>0</v>
      </c>
      <c r="C365" s="1" t="s">
        <v>1962</v>
      </c>
      <c r="D365" s="3">
        <v>6.93</v>
      </c>
      <c r="F365" s="4">
        <v>0.08396000000000001</v>
      </c>
      <c r="G365" s="3">
        <v>0.38</v>
      </c>
      <c r="J365" s="4">
        <v>0.650526</v>
      </c>
      <c r="K365" s="7">
        <v>0.8437</v>
      </c>
      <c r="L365" s="3">
        <v>7.26</v>
      </c>
      <c r="M365" s="3">
        <v>4.67</v>
      </c>
    </row>
    <row r="366" spans="1:13">
      <c r="A366" s="8" t="s">
        <v>377</v>
      </c>
      <c r="B366" s="2">
        <f>HYPERLINK("https://www.suredividend.com/sure-analysis-research-database/","Cullinan Therapeutics, Inc.")</f>
        <v>0</v>
      </c>
      <c r="C366" s="1" t="s">
        <v>1959</v>
      </c>
      <c r="D366" s="3">
        <v>11.77</v>
      </c>
      <c r="F366" s="4">
        <v>0</v>
      </c>
      <c r="G366" s="3">
        <v>0</v>
      </c>
      <c r="H366" s="5">
        <v>685.2846039999999</v>
      </c>
      <c r="J366" s="4">
        <v>0</v>
      </c>
      <c r="K366" s="7">
        <v>1.1181</v>
      </c>
      <c r="L366" s="3">
        <v>13.33</v>
      </c>
      <c r="M366" s="3">
        <v>5.68</v>
      </c>
    </row>
    <row r="367" spans="1:13">
      <c r="A367" s="8" t="s">
        <v>378</v>
      </c>
      <c r="B367" s="2">
        <f>HYPERLINK("https://www.suredividend.com/sure-analysis-research-database/","CG Oncology, Inc.")</f>
        <v>0</v>
      </c>
      <c r="C367" s="1" t="s">
        <v>1959</v>
      </c>
      <c r="D367" s="3">
        <v>57.97</v>
      </c>
      <c r="F367" s="4">
        <v>0</v>
      </c>
      <c r="G367" s="3">
        <v>0</v>
      </c>
      <c r="K367" s="7">
        <v>2.1372</v>
      </c>
      <c r="L367" s="3">
        <v>57.4</v>
      </c>
      <c r="M367" s="3">
        <v>14.8</v>
      </c>
    </row>
    <row r="368" spans="1:13">
      <c r="A368" s="8" t="s">
        <v>379</v>
      </c>
      <c r="B368" s="2">
        <f>HYPERLINK("https://www.suredividend.com/sure-analysis-CHCO/","CITY HOLDING CO")</f>
        <v>0</v>
      </c>
      <c r="C368" s="1" t="s">
        <v>1962</v>
      </c>
      <c r="D368" s="3">
        <v>124.34</v>
      </c>
      <c r="E368" s="4">
        <v>0.02798777545439923</v>
      </c>
      <c r="F368" s="4">
        <v>0.0224</v>
      </c>
      <c r="G368" s="3">
        <v>3.32</v>
      </c>
      <c r="H368" s="5">
        <v>1790.418973</v>
      </c>
      <c r="I368" s="6">
        <v>14.0347</v>
      </c>
      <c r="J368" s="4">
        <v>0.3627</v>
      </c>
      <c r="K368" s="7">
        <v>0.5954</v>
      </c>
      <c r="L368" s="3">
        <v>131.71</v>
      </c>
      <c r="M368" s="3">
        <v>99.44</v>
      </c>
    </row>
    <row r="369" spans="1:13">
      <c r="A369" s="8" t="s">
        <v>380</v>
      </c>
      <c r="B369" s="2">
        <f>HYPERLINK("https://www.suredividend.com/sure-analysis-CHCT/","Community Healthcare Trust Inc")</f>
        <v>0</v>
      </c>
      <c r="C369" s="1" t="s">
        <v>1961</v>
      </c>
      <c r="D369" s="3">
        <v>17.14</v>
      </c>
      <c r="E369" s="4">
        <v>0.1108518086347725</v>
      </c>
      <c r="F369" s="4">
        <v>0.10725</v>
      </c>
      <c r="G369" s="3">
        <v>1.88</v>
      </c>
      <c r="H369" s="5">
        <v>488.284922</v>
      </c>
      <c r="K369" s="7">
        <v>0.6545</v>
      </c>
      <c r="L369" s="3">
        <v>18.56</v>
      </c>
      <c r="M369" s="3">
        <v>12.8</v>
      </c>
    </row>
    <row r="370" spans="1:13">
      <c r="A370" s="8" t="s">
        <v>381</v>
      </c>
      <c r="B370" s="2">
        <f>HYPERLINK("https://www.suredividend.com/sure-analysis-research-database/","Chefs' Warehouse, Inc.")</f>
        <v>0</v>
      </c>
      <c r="C370" s="1" t="s">
        <v>1966</v>
      </c>
      <c r="D370" s="3">
        <v>65.34999999999999</v>
      </c>
      <c r="F370" s="4">
        <v>0</v>
      </c>
      <c r="G370" s="3">
        <v>0</v>
      </c>
      <c r="H370" s="5">
        <v>2659.614338</v>
      </c>
      <c r="I370" s="6">
        <v>35.9281</v>
      </c>
      <c r="J370" s="4">
        <v>0</v>
      </c>
      <c r="K370" s="7">
        <v>1.4209</v>
      </c>
      <c r="L370" s="3">
        <v>68.94</v>
      </c>
      <c r="M370" s="3">
        <v>45</v>
      </c>
    </row>
    <row r="371" spans="1:13">
      <c r="A371" s="8" t="s">
        <v>382</v>
      </c>
      <c r="B371" s="2">
        <f>HYPERLINK("https://www.suredividend.com/sure-analysis-research-database/","CHEGG, INC")</f>
        <v>0</v>
      </c>
      <c r="C371" s="1" t="s">
        <v>1966</v>
      </c>
      <c r="D371" s="3">
        <v>0.7634</v>
      </c>
      <c r="F371" s="4">
        <v>0</v>
      </c>
      <c r="G371" s="3">
        <v>0</v>
      </c>
      <c r="H371" s="5">
        <v>83.36445399999999</v>
      </c>
      <c r="J371" s="4">
        <v>0</v>
      </c>
      <c r="L371" s="3">
        <v>1.9</v>
      </c>
      <c r="M371" s="3">
        <v>0.44</v>
      </c>
    </row>
    <row r="372" spans="1:13">
      <c r="A372" s="8" t="s">
        <v>383</v>
      </c>
      <c r="B372" s="2">
        <f>HYPERLINK("https://www.suredividend.com/sure-analysis-research-database/","CHEMUNG FINANCIAL CORP")</f>
        <v>0</v>
      </c>
      <c r="C372" s="1" t="s">
        <v>1962</v>
      </c>
      <c r="D372" s="3">
        <v>57.73</v>
      </c>
      <c r="E372" s="4">
        <v>0.02</v>
      </c>
      <c r="F372" s="4">
        <v>0.02322</v>
      </c>
      <c r="G372" s="3">
        <v>0</v>
      </c>
      <c r="H372" s="5">
        <v>273.901158</v>
      </c>
      <c r="I372" s="6">
        <v>20.6297</v>
      </c>
      <c r="J372" s="4">
        <v>0.464713</v>
      </c>
    </row>
    <row r="373" spans="1:13">
      <c r="A373" s="8" t="s">
        <v>384</v>
      </c>
      <c r="B373" s="2">
        <f>HYPERLINK("https://www.suredividend.com/sure-analysis-research-database/","ChargePoint Holdings, Inc.")</f>
        <v>0</v>
      </c>
      <c r="C373" s="1" t="s">
        <v>1959</v>
      </c>
      <c r="D373" s="3">
        <v>6.56</v>
      </c>
      <c r="G373" s="3">
        <v>0</v>
      </c>
      <c r="H373" s="5">
        <v>154.691202</v>
      </c>
      <c r="J373" s="4">
        <v>0</v>
      </c>
    </row>
    <row r="374" spans="1:13">
      <c r="A374" s="8" t="s">
        <v>385</v>
      </c>
      <c r="B374" s="2">
        <f>HYPERLINK("https://www.suredividend.com/sure-analysis-research-database/","Coherus BioSciences, Inc.")</f>
        <v>0</v>
      </c>
      <c r="C374" s="1" t="s">
        <v>1965</v>
      </c>
      <c r="D374" s="3">
        <v>1.64</v>
      </c>
      <c r="G374" s="3">
        <v>0</v>
      </c>
      <c r="H374" s="5">
        <v>198.228461</v>
      </c>
      <c r="I374" s="6">
        <v>1.2791</v>
      </c>
      <c r="J374" s="4">
        <v>0</v>
      </c>
    </row>
    <row r="375" spans="1:13">
      <c r="A375" s="8" t="s">
        <v>386</v>
      </c>
      <c r="B375" s="2">
        <f>HYPERLINK("https://www.suredividend.com/sure-analysis-research-database/","ChampionX Corp")</f>
        <v>0</v>
      </c>
      <c r="C375" s="1" t="s">
        <v>1959</v>
      </c>
      <c r="D375" s="3">
        <v>25.8</v>
      </c>
      <c r="E375" s="4">
        <v>0.01</v>
      </c>
      <c r="F375" s="4">
        <v>0.009379999999999999</v>
      </c>
      <c r="G375" s="3">
        <v>0</v>
      </c>
      <c r="H375" s="5">
        <v>4940.034</v>
      </c>
      <c r="I375" s="6">
        <v>16.8521</v>
      </c>
      <c r="J375" s="4">
        <v>0.238926</v>
      </c>
    </row>
    <row r="376" spans="1:13">
      <c r="A376" s="8" t="s">
        <v>387</v>
      </c>
      <c r="B376" s="2">
        <f>HYPERLINK("https://www.suredividend.com/sure-analysis-research-database/","Cipher Mining Inc.")</f>
        <v>0</v>
      </c>
      <c r="C376" s="1" t="s">
        <v>1959</v>
      </c>
      <c r="D376" s="3">
        <v>18.03</v>
      </c>
      <c r="G376" s="3">
        <v>0</v>
      </c>
      <c r="H376" s="5">
        <v>7001.031197</v>
      </c>
      <c r="J376" s="4">
        <v>0</v>
      </c>
    </row>
    <row r="377" spans="1:13">
      <c r="A377" s="8" t="s">
        <v>388</v>
      </c>
      <c r="B377" s="2">
        <f>HYPERLINK("https://www.suredividend.com/sure-analysis-research-database/","CHIMERA INVESTMENT CORP")</f>
        <v>0</v>
      </c>
      <c r="C377" s="1" t="s">
        <v>1961</v>
      </c>
      <c r="D377" s="3">
        <v>13.07</v>
      </c>
      <c r="E377" s="4">
        <v>0.11</v>
      </c>
      <c r="F377" s="4">
        <v>0.19599</v>
      </c>
      <c r="G377" s="3">
        <v>0</v>
      </c>
      <c r="H377" s="5">
        <v>1079.305263</v>
      </c>
      <c r="J377" s="4">
        <v>3.717168</v>
      </c>
    </row>
    <row r="378" spans="1:13">
      <c r="A378" s="8" t="s">
        <v>389</v>
      </c>
      <c r="B378" s="2">
        <f>HYPERLINK("https://www.suredividend.com/sure-analysis-research-database/","City Office REIT, Inc.")</f>
        <v>0</v>
      </c>
      <c r="C378" s="1" t="s">
        <v>1961</v>
      </c>
      <c r="D378" s="3">
        <v>6.99</v>
      </c>
      <c r="E378" s="4">
        <v>0.07000000000000001</v>
      </c>
      <c r="F378" s="4">
        <v>0.08</v>
      </c>
      <c r="G378" s="3">
        <v>0</v>
      </c>
      <c r="H378" s="5">
        <v>282.141844</v>
      </c>
    </row>
    <row r="379" spans="1:13">
      <c r="A379" s="8" t="s">
        <v>390</v>
      </c>
      <c r="B379" s="2">
        <f>HYPERLINK("https://www.suredividend.com/sure-analysis-CIVB/","CIVISTA BANCSHARES, INC.")</f>
        <v>0</v>
      </c>
      <c r="C379" s="1" t="s">
        <v>1962</v>
      </c>
      <c r="D379" s="3">
        <v>23.4</v>
      </c>
      <c r="E379" s="4">
        <v>0.02905982905982906</v>
      </c>
      <c r="F379" s="4">
        <v>0.02698</v>
      </c>
      <c r="G379" s="3">
        <v>0</v>
      </c>
      <c r="H379" s="5">
        <v>452.693884</v>
      </c>
      <c r="I379" s="6">
        <v>10.327</v>
      </c>
      <c r="J379" s="4">
        <v>0.252578</v>
      </c>
      <c r="L379" s="3">
        <v>25.17</v>
      </c>
      <c r="M379" s="3">
        <v>17.05</v>
      </c>
    </row>
    <row r="380" spans="1:13">
      <c r="A380" s="8" t="s">
        <v>391</v>
      </c>
      <c r="B380" s="2">
        <f>HYPERLINK("https://www.suredividend.com/sure-analysis-research-database/","COMPX INTERNATIONAL INC")</f>
        <v>0</v>
      </c>
      <c r="C380" s="1" t="s">
        <v>1964</v>
      </c>
      <c r="D380" s="3">
        <v>23.62</v>
      </c>
      <c r="E380" s="4">
        <v>0.11</v>
      </c>
      <c r="F380" s="4">
        <v>0.08701</v>
      </c>
      <c r="G380" s="3">
        <v>0</v>
      </c>
      <c r="H380" s="5">
        <v>289.71507</v>
      </c>
      <c r="I380" s="6">
        <v>14.9979</v>
      </c>
      <c r="J380" s="4">
        <v>1.403323</v>
      </c>
    </row>
    <row r="381" spans="1:13">
      <c r="A381" s="8" t="s">
        <v>392</v>
      </c>
      <c r="B381" s="2">
        <f>HYPERLINK("https://www.suredividend.com/sure-analysis-research-database/","Clarus Corp")</f>
        <v>0</v>
      </c>
      <c r="C381" s="1" t="s">
        <v>1963</v>
      </c>
      <c r="D381" s="3">
        <v>3.69</v>
      </c>
      <c r="E381" s="4">
        <v>0.03</v>
      </c>
      <c r="F381" s="4">
        <v>0.0277</v>
      </c>
      <c r="G381" s="3">
        <v>0</v>
      </c>
      <c r="H381" s="5">
        <v>141.702731</v>
      </c>
      <c r="L381" s="3">
        <v>4.94</v>
      </c>
      <c r="M381" s="3">
        <v>2.98</v>
      </c>
    </row>
    <row r="382" spans="1:13">
      <c r="A382" s="8" t="s">
        <v>393</v>
      </c>
      <c r="B382" s="2">
        <f>HYPERLINK("https://www.suredividend.com/sure-analysis-research-database/","")</f>
        <v>0</v>
      </c>
      <c r="C382" s="1" t="s">
        <v>1969</v>
      </c>
      <c r="D382" s="3">
        <v>19.53</v>
      </c>
      <c r="F382" s="4">
        <v>0.00222</v>
      </c>
      <c r="G382" s="3">
        <v>0.04</v>
      </c>
      <c r="H382" s="5">
        <v>911.355986</v>
      </c>
      <c r="I382" s="6">
        <v>38.4311</v>
      </c>
      <c r="J382" s="4">
        <v>0.07753</v>
      </c>
      <c r="K382" s="7">
        <v>1.1276</v>
      </c>
      <c r="L382" s="3">
        <v>20.76</v>
      </c>
      <c r="M382" s="3">
        <v>9.710000000000001</v>
      </c>
    </row>
    <row r="383" spans="1:13">
      <c r="A383" s="8" t="s">
        <v>394</v>
      </c>
      <c r="B383" s="2">
        <f>HYPERLINK("https://www.suredividend.com/sure-analysis-research-database/","Columbia Financial, Inc.")</f>
        <v>0</v>
      </c>
      <c r="C383" s="1" t="s">
        <v>1962</v>
      </c>
      <c r="D383" s="3">
        <v>16.43</v>
      </c>
      <c r="F383" s="4">
        <v>0</v>
      </c>
      <c r="G383" s="3">
        <v>0</v>
      </c>
      <c r="H383" s="5">
        <v>1713.868373</v>
      </c>
      <c r="I383" s="6">
        <v>115.412</v>
      </c>
      <c r="J383" s="4">
        <v>0</v>
      </c>
      <c r="K383" s="7">
        <v>0.7126</v>
      </c>
      <c r="L383" s="3">
        <v>17.4</v>
      </c>
      <c r="M383" s="3">
        <v>12.64</v>
      </c>
    </row>
    <row r="384" spans="1:13">
      <c r="A384" s="8" t="s">
        <v>395</v>
      </c>
      <c r="B384" s="2">
        <f>HYPERLINK("https://www.suredividend.com/sure-analysis-research-database/","Chatham Lodging Trust")</f>
        <v>0</v>
      </c>
      <c r="C384" s="1" t="s">
        <v>1961</v>
      </c>
      <c r="D384" s="3">
        <v>7.275</v>
      </c>
      <c r="E384" s="4">
        <v>0.05</v>
      </c>
      <c r="F384" s="4">
        <v>0.02929</v>
      </c>
      <c r="G384" s="3">
        <v>0.36</v>
      </c>
      <c r="H384" s="5">
        <v>352.71132</v>
      </c>
      <c r="I384" s="6">
        <v>449.3138</v>
      </c>
      <c r="J384" s="4">
        <v>2.801965</v>
      </c>
      <c r="K384" s="7">
        <v>1.1672</v>
      </c>
      <c r="L384" s="3">
        <v>8.529999999999999</v>
      </c>
      <c r="M384" s="3">
        <v>5.61</v>
      </c>
    </row>
    <row r="385" spans="1:13">
      <c r="A385" s="8" t="s">
        <v>396</v>
      </c>
      <c r="B385" s="2">
        <f>HYPERLINK("https://www.suredividend.com/sure-analysis-research-database/","Celldex Therapeutics, Inc.")</f>
        <v>0</v>
      </c>
      <c r="C385" s="1" t="s">
        <v>1965</v>
      </c>
      <c r="D385" s="3">
        <v>26.17</v>
      </c>
      <c r="F385" s="4">
        <v>0</v>
      </c>
      <c r="G385" s="3">
        <v>0</v>
      </c>
      <c r="H385" s="5">
        <v>1738.982656</v>
      </c>
      <c r="J385" s="4">
        <v>0</v>
      </c>
      <c r="K385" s="7">
        <v>1.348</v>
      </c>
      <c r="L385" s="3">
        <v>30.5</v>
      </c>
      <c r="M385" s="3">
        <v>14.4</v>
      </c>
    </row>
    <row r="386" spans="1:13">
      <c r="A386" s="8" t="s">
        <v>397</v>
      </c>
      <c r="B386" s="2">
        <f>HYPERLINK("https://www.suredividend.com/sure-analysis-research-database/","Clearfield, Inc.")</f>
        <v>0</v>
      </c>
      <c r="C386" s="1" t="s">
        <v>1960</v>
      </c>
      <c r="D386" s="3">
        <v>30.865</v>
      </c>
      <c r="F386" s="4">
        <v>0</v>
      </c>
      <c r="G386" s="3">
        <v>0</v>
      </c>
      <c r="H386" s="5">
        <v>426.936112</v>
      </c>
      <c r="I386" s="6">
        <v>180.6755</v>
      </c>
      <c r="J386" s="4">
        <v>0</v>
      </c>
      <c r="K386" s="7">
        <v>1.314</v>
      </c>
      <c r="L386" s="3">
        <v>46.76</v>
      </c>
      <c r="M386" s="3">
        <v>23.78</v>
      </c>
    </row>
    <row r="387" spans="1:13">
      <c r="A387" s="8" t="s">
        <v>398</v>
      </c>
      <c r="B387" s="2">
        <f>HYPERLINK("https://www.suredividend.com/sure-analysis-research-database/","Climb Global Solutions, Inc.")</f>
        <v>0</v>
      </c>
      <c r="C387" s="1" t="s">
        <v>1959</v>
      </c>
      <c r="D387" s="3">
        <v>120.86</v>
      </c>
      <c r="E387" s="4">
        <v>0.01</v>
      </c>
      <c r="F387" s="4">
        <v>0.00598</v>
      </c>
      <c r="G387" s="3">
        <v>0.68</v>
      </c>
      <c r="H387" s="5">
        <v>556.012512</v>
      </c>
      <c r="I387" s="6">
        <v>26.0574</v>
      </c>
      <c r="J387" s="4">
        <v>0.143781</v>
      </c>
      <c r="K387" s="7">
        <v>0.8651</v>
      </c>
      <c r="L387" s="3">
        <v>144.8</v>
      </c>
      <c r="M387" s="3">
        <v>88.48999999999999</v>
      </c>
    </row>
    <row r="388" spans="1:13">
      <c r="A388" s="8" t="s">
        <v>399</v>
      </c>
      <c r="B388" s="2">
        <f>HYPERLINK("https://www.suredividend.com/sure-analysis-research-database/","Clean Energy Fuels Corp.")</f>
        <v>0</v>
      </c>
      <c r="C388" s="1" t="s">
        <v>1969</v>
      </c>
      <c r="D388" s="3">
        <v>2.22</v>
      </c>
      <c r="F388" s="4">
        <v>0</v>
      </c>
      <c r="G388" s="3">
        <v>0</v>
      </c>
      <c r="H388" s="5">
        <v>486.848218</v>
      </c>
      <c r="J388" s="4">
        <v>0</v>
      </c>
      <c r="K388" s="7">
        <v>1.7787</v>
      </c>
      <c r="L388" s="3">
        <v>3.67</v>
      </c>
      <c r="M388" s="3">
        <v>1.3</v>
      </c>
    </row>
    <row r="389" spans="1:13">
      <c r="A389" s="8" t="s">
        <v>400</v>
      </c>
      <c r="B389" s="2">
        <f>HYPERLINK("https://www.suredividend.com/sure-analysis-research-database/","Clipper Realty Inc.")</f>
        <v>0</v>
      </c>
      <c r="C389" s="1" t="s">
        <v>1961</v>
      </c>
      <c r="D389" s="3">
        <v>3.695</v>
      </c>
      <c r="E389" s="4">
        <v>0.1</v>
      </c>
      <c r="F389" s="4">
        <v>0.10411</v>
      </c>
      <c r="G389" s="3">
        <v>0.38</v>
      </c>
      <c r="H389" s="5">
        <v>59.903686</v>
      </c>
      <c r="K389" s="7">
        <v>0.5452</v>
      </c>
      <c r="L389" s="3">
        <v>4.68</v>
      </c>
      <c r="M389" s="3">
        <v>3.19</v>
      </c>
    </row>
    <row r="390" spans="1:13">
      <c r="A390" s="8" t="s">
        <v>401</v>
      </c>
      <c r="B390" s="2">
        <f>HYPERLINK("https://www.suredividend.com/sure-analysis-research-database/","Cleanspark Inc.")</f>
        <v>0</v>
      </c>
      <c r="C390" s="1" t="s">
        <v>1959</v>
      </c>
      <c r="D390" s="3">
        <v>0.41</v>
      </c>
      <c r="G390" s="3">
        <v>0</v>
      </c>
    </row>
    <row r="391" spans="1:13">
      <c r="A391" s="8" t="s">
        <v>402</v>
      </c>
      <c r="B391" s="2">
        <f>HYPERLINK("https://www.suredividend.com/sure-analysis-research-database/","Clearwater Paper Corp")</f>
        <v>0</v>
      </c>
      <c r="C391" s="1" t="s">
        <v>1970</v>
      </c>
      <c r="D391" s="3">
        <v>18.28</v>
      </c>
      <c r="G391" s="3">
        <v>0</v>
      </c>
      <c r="H391" s="5">
        <v>293.1808</v>
      </c>
      <c r="I391" s="6">
        <v>2.0603</v>
      </c>
      <c r="J391" s="4">
        <v>0</v>
      </c>
    </row>
    <row r="392" spans="1:13">
      <c r="A392" s="8" t="s">
        <v>403</v>
      </c>
      <c r="B392" s="2">
        <f>HYPERLINK("https://www.suredividend.com/sure-analysis-research-database/","Climb Bio, Inc.")</f>
        <v>0</v>
      </c>
      <c r="C392" s="1" t="s">
        <v>1959</v>
      </c>
      <c r="D392" s="3">
        <v>4.24</v>
      </c>
      <c r="G392" s="3">
        <v>0</v>
      </c>
      <c r="H392" s="5">
        <v>292.511226</v>
      </c>
      <c r="J392" s="4">
        <v>0</v>
      </c>
    </row>
    <row r="393" spans="1:13">
      <c r="A393" s="8" t="s">
        <v>404</v>
      </c>
      <c r="B393" s="2">
        <f>HYPERLINK("https://www.suredividend.com/sure-analysis-research-database/","COMMERCIAL METALS Co")</f>
        <v>0</v>
      </c>
      <c r="C393" s="1" t="s">
        <v>1970</v>
      </c>
      <c r="D393" s="3">
        <v>78.01000000000001</v>
      </c>
      <c r="E393" s="4">
        <v>0.01</v>
      </c>
      <c r="F393" s="4">
        <v>0.00889</v>
      </c>
      <c r="G393" s="3">
        <v>0</v>
      </c>
      <c r="H393" s="5">
        <v>8635.251565</v>
      </c>
      <c r="I393" s="6">
        <v>19.7304</v>
      </c>
      <c r="J393" s="4">
        <v>0.184798</v>
      </c>
    </row>
    <row r="394" spans="1:13">
      <c r="A394" s="8" t="s">
        <v>405</v>
      </c>
      <c r="B394" s="2">
        <f>HYPERLINK("https://www.suredividend.com/sure-analysis-research-database/","Caledonia Mining Corp Plc")</f>
        <v>0</v>
      </c>
      <c r="C394" s="1" t="s">
        <v>1970</v>
      </c>
      <c r="D394" s="3">
        <v>28.78</v>
      </c>
      <c r="E394" s="4">
        <v>0.02</v>
      </c>
      <c r="F394" s="4">
        <v>0.01878</v>
      </c>
      <c r="G394" s="3">
        <v>0</v>
      </c>
      <c r="H394" s="5">
        <v>559.527812</v>
      </c>
      <c r="I394" s="6">
        <v>31.2603</v>
      </c>
      <c r="J394" s="4">
        <v>0.533617</v>
      </c>
    </row>
    <row r="395" spans="1:13">
      <c r="A395" s="8" t="s">
        <v>406</v>
      </c>
      <c r="B395" s="2">
        <f>HYPERLINK("https://www.suredividend.com/sure-analysis-research-database/","COLUMBUS MCKINNON CORP")</f>
        <v>0</v>
      </c>
      <c r="C395" s="1" t="s">
        <v>1964</v>
      </c>
      <c r="D395" s="3">
        <v>20.88</v>
      </c>
      <c r="E395" s="4">
        <v>0.01</v>
      </c>
      <c r="F395" s="4">
        <v>0.014</v>
      </c>
      <c r="G395" s="3">
        <v>0</v>
      </c>
      <c r="H395" s="5">
        <v>600.133372</v>
      </c>
      <c r="I395" s="6">
        <v>151.053</v>
      </c>
      <c r="J395" s="4">
        <v>2.018122</v>
      </c>
    </row>
    <row r="396" spans="1:13">
      <c r="A396" s="8" t="s">
        <v>407</v>
      </c>
      <c r="B396" s="2">
        <f>HYPERLINK("https://www.suredividend.com/sure-analysis-research-database/","COMPASS MINERALS INTERNATIONAL INC")</f>
        <v>0</v>
      </c>
      <c r="C396" s="1" t="s">
        <v>1970</v>
      </c>
      <c r="D396" s="3">
        <v>23.44</v>
      </c>
      <c r="F396" s="4">
        <v>0.03258</v>
      </c>
      <c r="G396" s="3">
        <v>0</v>
      </c>
      <c r="H396" s="5">
        <v>980.667158</v>
      </c>
      <c r="J396" s="4">
        <v>0</v>
      </c>
    </row>
    <row r="397" spans="1:13">
      <c r="A397" s="8" t="s">
        <v>408</v>
      </c>
      <c r="B397" s="2">
        <f>HYPERLINK("https://www.suredividend.com/sure-analysis-research-database/","CompoSecure, Inc.")</f>
        <v>0</v>
      </c>
      <c r="C397" s="1" t="s">
        <v>1959</v>
      </c>
      <c r="D397" s="3">
        <v>25.56</v>
      </c>
      <c r="E397" s="4">
        <v>0.14</v>
      </c>
      <c r="F397" s="4">
        <v>0.02767</v>
      </c>
      <c r="G397" s="3">
        <v>0</v>
      </c>
      <c r="H397" s="5">
        <v>3215.016999</v>
      </c>
      <c r="J397" s="4">
        <v>0</v>
      </c>
    </row>
    <row r="398" spans="1:13">
      <c r="A398" s="8" t="s">
        <v>409</v>
      </c>
      <c r="B398" s="2">
        <f>HYPERLINK("https://www.suredividend.com/sure-analysis-research-database/","CIMPRESS plc")</f>
        <v>0</v>
      </c>
      <c r="C398" s="1" t="s">
        <v>1968</v>
      </c>
      <c r="D398" s="3">
        <v>80</v>
      </c>
      <c r="G398" s="3">
        <v>0</v>
      </c>
      <c r="H398" s="5">
        <v>1975.963181</v>
      </c>
      <c r="I398" s="6">
        <v>56.2344</v>
      </c>
      <c r="J398" s="4">
        <v>0</v>
      </c>
    </row>
    <row r="399" spans="1:13">
      <c r="A399" s="8" t="s">
        <v>410</v>
      </c>
      <c r="B399" s="2">
        <f>HYPERLINK("https://www.suredividend.com/sure-analysis-research-database/","Compass Therapeutics, Inc.")</f>
        <v>0</v>
      </c>
      <c r="C399" s="1" t="s">
        <v>1959</v>
      </c>
      <c r="D399" s="3">
        <v>5.96</v>
      </c>
      <c r="G399" s="3">
        <v>0</v>
      </c>
      <c r="H399" s="5">
        <v>1049.386402</v>
      </c>
      <c r="J399" s="4">
        <v>0</v>
      </c>
    </row>
    <row r="400" spans="1:13">
      <c r="A400" s="8" t="s">
        <v>411</v>
      </c>
      <c r="B400" s="2">
        <f>HYPERLINK("https://www.suredividend.com/sure-analysis-research-database/","Costamare Inc.")</f>
        <v>0</v>
      </c>
      <c r="C400" s="1" t="s">
        <v>1964</v>
      </c>
      <c r="D400" s="3">
        <v>15.855</v>
      </c>
      <c r="F400" s="4">
        <v>0.0531</v>
      </c>
      <c r="G400" s="3">
        <v>0</v>
      </c>
      <c r="H400" s="5">
        <v>2058.67343</v>
      </c>
      <c r="I400" s="6">
        <v>7.0823</v>
      </c>
      <c r="J400" s="4">
        <v>0.233206</v>
      </c>
      <c r="L400" s="3">
        <v>16.81</v>
      </c>
      <c r="M400" s="3">
        <v>6.04</v>
      </c>
    </row>
    <row r="401" spans="1:13">
      <c r="A401" s="8" t="s">
        <v>412</v>
      </c>
      <c r="B401" s="2">
        <f>HYPERLINK("https://www.suredividend.com/sure-analysis-research-database/","")</f>
        <v>0</v>
      </c>
      <c r="C401" s="1" t="s">
        <v>1970</v>
      </c>
      <c r="D401" s="3">
        <v>19.2</v>
      </c>
      <c r="G401" s="3">
        <v>0.2</v>
      </c>
      <c r="H401" s="5">
        <v>169.451761</v>
      </c>
      <c r="K401" s="7">
        <v>0.3673</v>
      </c>
    </row>
    <row r="402" spans="1:13">
      <c r="A402" s="8" t="s">
        <v>413</v>
      </c>
      <c r="B402" s="2">
        <f>HYPERLINK("https://www.suredividend.com/sure-analysis-research-database/","Claros Mortgage Trust, Inc.")</f>
        <v>0</v>
      </c>
      <c r="C402" s="1" t="s">
        <v>1959</v>
      </c>
      <c r="D402" s="3">
        <v>2.895</v>
      </c>
      <c r="F402" s="4">
        <v>0.2617</v>
      </c>
      <c r="G402" s="3">
        <v>0.85</v>
      </c>
      <c r="H402" s="5">
        <v>406.634416</v>
      </c>
      <c r="K402" s="7">
        <v>1.0997</v>
      </c>
      <c r="L402" s="3">
        <v>4.3</v>
      </c>
      <c r="M402" s="3">
        <v>2.13</v>
      </c>
    </row>
    <row r="403" spans="1:13">
      <c r="A403" s="8" t="s">
        <v>414</v>
      </c>
      <c r="B403" s="2">
        <f>HYPERLINK("https://www.suredividend.com/sure-analysis-research-database/","CONDUENT Inc")</f>
        <v>0</v>
      </c>
      <c r="C403" s="1" t="s">
        <v>1960</v>
      </c>
      <c r="D403" s="3">
        <v>1.7</v>
      </c>
      <c r="F403" s="4">
        <v>0</v>
      </c>
      <c r="G403" s="3">
        <v>0</v>
      </c>
      <c r="H403" s="5">
        <v>259.912135</v>
      </c>
      <c r="K403" s="7">
        <v>1.0222</v>
      </c>
      <c r="L403" s="3">
        <v>4.9</v>
      </c>
      <c r="M403" s="3">
        <v>1.68</v>
      </c>
    </row>
    <row r="404" spans="1:13">
      <c r="A404" s="8" t="s">
        <v>415</v>
      </c>
      <c r="B404" s="2">
        <f>HYPERLINK("https://www.suredividend.com/sure-analysis-research-database/","Cinemark Holdings, Inc.")</f>
        <v>0</v>
      </c>
      <c r="C404" s="1" t="s">
        <v>1968</v>
      </c>
      <c r="D404" s="3">
        <v>24.18</v>
      </c>
      <c r="E404" s="4">
        <v>0.01</v>
      </c>
      <c r="F404" s="4">
        <v>0.00293</v>
      </c>
      <c r="G404" s="3">
        <v>0.33</v>
      </c>
      <c r="H404" s="5">
        <v>2845.020009</v>
      </c>
      <c r="I404" s="6">
        <v>18.3077</v>
      </c>
      <c r="J404" s="4">
        <v>0</v>
      </c>
      <c r="K404" s="7">
        <v>0.5092</v>
      </c>
      <c r="L404" s="3">
        <v>33.79</v>
      </c>
      <c r="M404" s="3">
        <v>21.6</v>
      </c>
    </row>
    <row r="405" spans="1:13">
      <c r="A405" s="8" t="s">
        <v>416</v>
      </c>
      <c r="B405" s="2">
        <f>HYPERLINK("https://www.suredividend.com/sure-analysis-research-database/","CONMED Corp")</f>
        <v>0</v>
      </c>
      <c r="C405" s="1" t="s">
        <v>1965</v>
      </c>
      <c r="D405" s="3">
        <v>41.54</v>
      </c>
      <c r="E405" s="4">
        <v>0.02</v>
      </c>
      <c r="F405" s="4">
        <v>0.01748</v>
      </c>
      <c r="G405" s="3">
        <v>0.8</v>
      </c>
      <c r="H405" s="5">
        <v>1287.028168</v>
      </c>
      <c r="I405" s="6">
        <v>20.0878</v>
      </c>
      <c r="J405" s="4">
        <v>0.386015</v>
      </c>
      <c r="K405" s="7">
        <v>0.7675</v>
      </c>
      <c r="L405" s="3">
        <v>73.89</v>
      </c>
      <c r="M405" s="3">
        <v>38.32</v>
      </c>
    </row>
    <row r="406" spans="1:13">
      <c r="A406" s="8" t="s">
        <v>417</v>
      </c>
      <c r="B406" s="2">
        <f>HYPERLINK("https://www.suredividend.com/sure-analysis-research-database/","Cannae Holdings, Inc.")</f>
        <v>0</v>
      </c>
      <c r="C406" s="1" t="s">
        <v>1963</v>
      </c>
      <c r="D406" s="3">
        <v>15.75</v>
      </c>
      <c r="E406" s="4">
        <v>0.03</v>
      </c>
      <c r="F406" s="4">
        <v>0.01154</v>
      </c>
      <c r="G406" s="3">
        <v>0.54</v>
      </c>
      <c r="H406" s="5">
        <v>775.75229</v>
      </c>
      <c r="K406" s="7">
        <v>1.043</v>
      </c>
      <c r="L406" s="3">
        <v>21.59</v>
      </c>
      <c r="M406" s="3">
        <v>14.91</v>
      </c>
    </row>
    <row r="407" spans="1:13">
      <c r="A407" s="8" t="s">
        <v>418</v>
      </c>
      <c r="B407" s="2">
        <f>HYPERLINK("https://www.suredividend.com/sure-analysis-CNO/","CNO Financial Group, Inc.")</f>
        <v>0</v>
      </c>
      <c r="C407" s="1" t="s">
        <v>1962</v>
      </c>
      <c r="D407" s="3">
        <v>41.07</v>
      </c>
      <c r="E407" s="4">
        <v>0.01655709763817872</v>
      </c>
      <c r="F407" s="4">
        <v>0.01362</v>
      </c>
      <c r="G407" s="3">
        <v>0.67</v>
      </c>
      <c r="H407" s="5">
        <v>3916.168738</v>
      </c>
      <c r="I407" s="6">
        <v>13.2887</v>
      </c>
      <c r="J407" s="4">
        <v>0.225314</v>
      </c>
      <c r="K407" s="7">
        <v>0.8923</v>
      </c>
      <c r="L407" s="3">
        <v>44.19</v>
      </c>
      <c r="M407" s="3">
        <v>34.18</v>
      </c>
    </row>
    <row r="408" spans="1:13">
      <c r="A408" s="8" t="s">
        <v>419</v>
      </c>
      <c r="B408" s="2">
        <f>HYPERLINK("https://www.suredividend.com/sure-analysis-CNOB/","ConnectOne Bancorp, Inc.")</f>
        <v>0</v>
      </c>
      <c r="C408" s="1" t="s">
        <v>1962</v>
      </c>
      <c r="D408" s="3">
        <v>28.5</v>
      </c>
      <c r="E408" s="4">
        <v>0.02526315789473684</v>
      </c>
      <c r="F408" s="4">
        <v>0.02503</v>
      </c>
      <c r="G408" s="3">
        <v>0.72</v>
      </c>
      <c r="H408" s="5">
        <v>1433.788498</v>
      </c>
      <c r="I408" s="6">
        <v>25.9462</v>
      </c>
      <c r="J408" s="4">
        <v>0.584851</v>
      </c>
      <c r="K408" s="7">
        <v>1.0249</v>
      </c>
      <c r="L408" s="3">
        <v>28.54</v>
      </c>
      <c r="M408" s="3">
        <v>20.16</v>
      </c>
    </row>
    <row r="409" spans="1:13">
      <c r="A409" s="8" t="s">
        <v>420</v>
      </c>
      <c r="B409" s="2">
        <f>HYPERLINK("https://www.suredividend.com/sure-analysis-research-database/","Core Natural Resources, Inc.")</f>
        <v>0</v>
      </c>
      <c r="C409" s="1" t="s">
        <v>1964</v>
      </c>
      <c r="D409" s="3">
        <v>100.71</v>
      </c>
      <c r="F409" s="4">
        <v>0.01287</v>
      </c>
      <c r="G409" s="3">
        <v>0</v>
      </c>
      <c r="H409" s="5">
        <v>5197.731837</v>
      </c>
      <c r="L409" s="3">
        <v>102.8</v>
      </c>
      <c r="M409" s="3">
        <v>57.95</v>
      </c>
    </row>
    <row r="410" spans="1:13">
      <c r="A410" s="8" t="s">
        <v>421</v>
      </c>
      <c r="B410" s="2">
        <f>HYPERLINK("https://www.suredividend.com/sure-analysis-CNS/","COHEN &amp; STEERS, INC.")</f>
        <v>0</v>
      </c>
      <c r="C410" s="1" t="s">
        <v>1962</v>
      </c>
      <c r="D410" s="3">
        <v>69.31999999999999</v>
      </c>
      <c r="E410" s="4">
        <v>0.03577611079053664</v>
      </c>
      <c r="F410" s="4">
        <v>0.03507</v>
      </c>
      <c r="G410" s="3">
        <v>0</v>
      </c>
      <c r="H410" s="5">
        <v>3537.883044</v>
      </c>
      <c r="I410" s="6">
        <v>21.5514</v>
      </c>
      <c r="J410" s="4">
        <v>0.7375159999999999</v>
      </c>
      <c r="L410" s="3">
        <v>88.16</v>
      </c>
      <c r="M410" s="3">
        <v>58.39</v>
      </c>
    </row>
    <row r="411" spans="1:13">
      <c r="A411" s="8" t="s">
        <v>422</v>
      </c>
      <c r="B411" s="2">
        <f>HYPERLINK("https://www.suredividend.com/sure-analysis-research-database/","CNX Resources Corp")</f>
        <v>0</v>
      </c>
      <c r="C411" s="1" t="s">
        <v>1969</v>
      </c>
      <c r="D411" s="3">
        <v>37.55</v>
      </c>
      <c r="G411" s="3">
        <v>0</v>
      </c>
      <c r="H411" s="5">
        <v>5025.213164</v>
      </c>
      <c r="I411" s="6">
        <v>17.1929</v>
      </c>
      <c r="J411" s="4">
        <v>0</v>
      </c>
    </row>
    <row r="412" spans="1:13">
      <c r="A412" s="8" t="s">
        <v>423</v>
      </c>
      <c r="B412" s="2">
        <f>HYPERLINK("https://www.suredividend.com/sure-analysis-research-database/","PC CONNECTION INC")</f>
        <v>0</v>
      </c>
      <c r="C412" s="1" t="s">
        <v>1960</v>
      </c>
      <c r="D412" s="3">
        <v>57.6</v>
      </c>
      <c r="E412" s="4">
        <v>0.01</v>
      </c>
      <c r="F412" s="4">
        <v>0.01033</v>
      </c>
      <c r="G412" s="3">
        <v>0</v>
      </c>
      <c r="H412" s="5">
        <v>1456.14452</v>
      </c>
      <c r="I412" s="6">
        <v>17.3907</v>
      </c>
      <c r="J412" s="4">
        <v>0.168946</v>
      </c>
      <c r="L412" s="3">
        <v>74.13</v>
      </c>
      <c r="M412" s="3">
        <v>54.97</v>
      </c>
    </row>
    <row r="413" spans="1:13">
      <c r="A413" s="8" t="s">
        <v>424</v>
      </c>
      <c r="B413" s="2">
        <f>HYPERLINK("https://www.suredividend.com/sure-analysis-research-database/","Vita Coco Company, Inc.")</f>
        <v>0</v>
      </c>
      <c r="C413" s="1" t="s">
        <v>1959</v>
      </c>
      <c r="D413" s="3">
        <v>53.74</v>
      </c>
      <c r="G413" s="3">
        <v>0</v>
      </c>
      <c r="H413" s="5">
        <v>3049.009733</v>
      </c>
      <c r="I413" s="6">
        <v>44.0844</v>
      </c>
      <c r="J413" s="4">
        <v>0</v>
      </c>
    </row>
    <row r="414" spans="1:13">
      <c r="A414" s="8" t="s">
        <v>425</v>
      </c>
      <c r="B414" s="2">
        <f>HYPERLINK("https://www.suredividend.com/sure-analysis-research-database/","Compass Diversified Holdings")</f>
        <v>0</v>
      </c>
      <c r="C414" s="1" t="s">
        <v>1964</v>
      </c>
      <c r="D414" s="3">
        <v>5.365</v>
      </c>
      <c r="E414" s="4">
        <v>0.19</v>
      </c>
      <c r="F414" s="4">
        <v>0.22256</v>
      </c>
      <c r="G414" s="3">
        <v>0</v>
      </c>
      <c r="H414" s="5">
        <v>404.017137</v>
      </c>
    </row>
    <row r="415" spans="1:13">
      <c r="A415" s="8" t="s">
        <v>426</v>
      </c>
      <c r="B415" s="2">
        <f>HYPERLINK("https://www.suredividend.com/sure-analysis-COFS/","CHOICEONE FINANCIAL SERVICES INC")</f>
        <v>0</v>
      </c>
      <c r="C415" s="1" t="s">
        <v>1962</v>
      </c>
      <c r="D415" s="3">
        <v>29.35</v>
      </c>
      <c r="E415" s="4">
        <v>0.03952299829642248</v>
      </c>
      <c r="F415" s="4">
        <v>0.03657</v>
      </c>
      <c r="G415" s="3">
        <v>0</v>
      </c>
      <c r="H415" s="5">
        <v>440.796297</v>
      </c>
      <c r="I415" s="6">
        <v>20.5327</v>
      </c>
      <c r="J415" s="4">
        <v>0.703792</v>
      </c>
    </row>
    <row r="416" spans="1:13">
      <c r="A416" s="8" t="s">
        <v>427</v>
      </c>
      <c r="B416" s="2">
        <f>HYPERLINK("https://www.suredividend.com/sure-analysis-research-database/","Cogent Biosciences, Inc.")</f>
        <v>0</v>
      </c>
      <c r="C416" s="1" t="s">
        <v>1959</v>
      </c>
      <c r="D416" s="3">
        <v>39.96</v>
      </c>
      <c r="G416" s="3">
        <v>0</v>
      </c>
      <c r="H416" s="5">
        <v>5680.823507</v>
      </c>
      <c r="J416" s="4">
        <v>0</v>
      </c>
      <c r="L416" s="3">
        <v>43.73</v>
      </c>
      <c r="M416" s="3">
        <v>3.72</v>
      </c>
    </row>
    <row r="417" spans="1:13">
      <c r="A417" s="8" t="s">
        <v>428</v>
      </c>
      <c r="B417" s="2">
        <f>HYPERLINK("https://www.suredividend.com/sure-analysis-research-database/","COHU INC")</f>
        <v>0</v>
      </c>
      <c r="C417" s="1" t="s">
        <v>1960</v>
      </c>
      <c r="D417" s="3">
        <v>29.76</v>
      </c>
      <c r="G417" s="3">
        <v>0</v>
      </c>
      <c r="H417" s="5">
        <v>1390.506134</v>
      </c>
      <c r="J417" s="4">
        <v>0</v>
      </c>
    </row>
    <row r="418" spans="1:13">
      <c r="A418" s="8" t="s">
        <v>429</v>
      </c>
      <c r="B418" s="2">
        <f>HYPERLINK("https://www.suredividend.com/sure-analysis-research-database/","COLLEGIUM PHARMACEUTICAL, INC")</f>
        <v>0</v>
      </c>
      <c r="C418" s="1" t="s">
        <v>1965</v>
      </c>
      <c r="D418" s="3">
        <v>46.31</v>
      </c>
      <c r="G418" s="3">
        <v>0</v>
      </c>
      <c r="H418" s="5">
        <v>1486.031982</v>
      </c>
      <c r="I418" s="6">
        <v>25.427</v>
      </c>
      <c r="J418" s="4">
        <v>0</v>
      </c>
    </row>
    <row r="419" spans="1:13">
      <c r="A419" s="8" t="s">
        <v>430</v>
      </c>
      <c r="B419" s="2">
        <f>HYPERLINK("https://www.suredividend.com/sure-analysis-research-database/","CommScope Holding Company, Inc.")</f>
        <v>0</v>
      </c>
      <c r="C419" s="1" t="s">
        <v>1960</v>
      </c>
      <c r="D419" s="3">
        <v>18.09</v>
      </c>
      <c r="G419" s="3">
        <v>0</v>
      </c>
      <c r="H419" s="5">
        <v>4001.169648</v>
      </c>
      <c r="I419" s="6">
        <v>4.6358</v>
      </c>
      <c r="J419" s="4">
        <v>0</v>
      </c>
      <c r="L419" s="3">
        <v>20.55</v>
      </c>
      <c r="M419" s="3">
        <v>2.94</v>
      </c>
    </row>
    <row r="420" spans="1:13">
      <c r="A420" s="8" t="s">
        <v>431</v>
      </c>
      <c r="B420" s="2">
        <f>HYPERLINK("https://www.suredividend.com/sure-analysis-research-database/","Compass, Inc.")</f>
        <v>0</v>
      </c>
      <c r="C420" s="1" t="s">
        <v>1959</v>
      </c>
      <c r="D420" s="3">
        <v>13.4</v>
      </c>
      <c r="G420" s="3">
        <v>0</v>
      </c>
      <c r="H420" s="5">
        <v>7478.949155</v>
      </c>
      <c r="J420" s="4">
        <v>0</v>
      </c>
      <c r="K420" s="7">
        <v>1.6766</v>
      </c>
      <c r="L420" s="3">
        <v>13.53</v>
      </c>
      <c r="M420" s="3">
        <v>5.66</v>
      </c>
    </row>
    <row r="421" spans="1:13">
      <c r="A421" s="8" t="s">
        <v>432</v>
      </c>
      <c r="B421" s="2">
        <f>HYPERLINK("https://www.suredividend.com/sure-analysis-research-database/","Concentra Group Holdings Parent, Inc.")</f>
        <v>0</v>
      </c>
      <c r="C421" s="1" t="s">
        <v>1959</v>
      </c>
      <c r="D421" s="3">
        <v>21.985</v>
      </c>
      <c r="E421" s="4">
        <v>0.01</v>
      </c>
      <c r="F421" s="4">
        <v>0.00321</v>
      </c>
      <c r="G421" s="3">
        <v>0.25</v>
      </c>
      <c r="H421" s="5">
        <v>2818.462742</v>
      </c>
      <c r="I421" s="6">
        <v>18.3922</v>
      </c>
      <c r="J421" s="4">
        <v>0.239505</v>
      </c>
      <c r="K421" s="7">
        <v>0.4247</v>
      </c>
      <c r="L421" s="3">
        <v>23.92</v>
      </c>
      <c r="M421" s="3">
        <v>18.49</v>
      </c>
    </row>
    <row r="422" spans="1:13">
      <c r="A422" s="8" t="s">
        <v>433</v>
      </c>
      <c r="B422" s="2">
        <f>HYPERLINK("https://www.suredividend.com/sure-analysis-research-database/","Traeger, Inc.")</f>
        <v>0</v>
      </c>
      <c r="C422" s="1" t="s">
        <v>1959</v>
      </c>
      <c r="D422" s="3">
        <v>1.07</v>
      </c>
      <c r="F422" s="4">
        <v>0</v>
      </c>
      <c r="G422" s="3">
        <v>0</v>
      </c>
      <c r="H422" s="5">
        <v>147.988422</v>
      </c>
      <c r="J422" s="4">
        <v>0</v>
      </c>
      <c r="K422" s="7">
        <v>1.515</v>
      </c>
      <c r="L422" s="3">
        <v>2.7</v>
      </c>
      <c r="M422" s="3">
        <v>0.71</v>
      </c>
    </row>
    <row r="423" spans="1:13">
      <c r="A423" s="8" t="s">
        <v>434</v>
      </c>
      <c r="B423" s="2">
        <f>HYPERLINK("https://www.suredividend.com/sure-analysis-research-database/","Mr. Cooper Group Inc.")</f>
        <v>0</v>
      </c>
      <c r="C423" s="1" t="s">
        <v>1962</v>
      </c>
      <c r="D423" s="3">
        <v>213</v>
      </c>
      <c r="F423" s="4">
        <v>0</v>
      </c>
      <c r="G423" s="3">
        <v>0</v>
      </c>
      <c r="H423" s="5">
        <v>13489.141173</v>
      </c>
      <c r="I423" s="6">
        <v>20.1631</v>
      </c>
      <c r="K423" s="7">
        <v>0.2715</v>
      </c>
    </row>
    <row r="424" spans="1:13">
      <c r="A424" s="8" t="s">
        <v>435</v>
      </c>
      <c r="B424" s="2">
        <f>HYPERLINK("https://www.suredividend.com/sure-analysis-research-database/","CORCEPT THERAPEUTICS INC")</f>
        <v>0</v>
      </c>
      <c r="C424" s="1" t="s">
        <v>1965</v>
      </c>
      <c r="D424" s="3">
        <v>36.27</v>
      </c>
      <c r="F424" s="4">
        <v>0</v>
      </c>
      <c r="G424" s="3">
        <v>0</v>
      </c>
      <c r="H424" s="5">
        <v>3819.384159</v>
      </c>
      <c r="I424" s="6">
        <v>36.4908</v>
      </c>
      <c r="J424" s="4">
        <v>0</v>
      </c>
      <c r="K424" s="7">
        <v>0.3562</v>
      </c>
      <c r="L424" s="3">
        <v>117.33</v>
      </c>
      <c r="M424" s="3">
        <v>32.99</v>
      </c>
    </row>
    <row r="425" spans="1:13">
      <c r="A425" s="8" t="s">
        <v>436</v>
      </c>
      <c r="B425" s="2">
        <f>HYPERLINK("https://www.suredividend.com/sure-analysis-research-database/","Core Scientific, Inc./tx")</f>
        <v>0</v>
      </c>
      <c r="C425" s="1" t="s">
        <v>1959</v>
      </c>
      <c r="D425" s="3">
        <v>18.43</v>
      </c>
      <c r="F425" s="4">
        <v>0</v>
      </c>
      <c r="G425" s="3">
        <v>0</v>
      </c>
      <c r="H425" s="5">
        <v>5643.11566</v>
      </c>
      <c r="J425" s="4">
        <v>0</v>
      </c>
      <c r="K425" s="7">
        <v>2.4915</v>
      </c>
      <c r="L425" s="3">
        <v>23.63</v>
      </c>
      <c r="M425" s="3">
        <v>6.2</v>
      </c>
    </row>
    <row r="426" spans="1:13">
      <c r="A426" s="8" t="s">
        <v>437</v>
      </c>
      <c r="B426" s="2">
        <f>HYPERLINK("https://www.suredividend.com/sure-analysis-research-database/","Coursera, Inc.")</f>
        <v>0</v>
      </c>
      <c r="C426" s="1" t="s">
        <v>1959</v>
      </c>
      <c r="D426" s="3">
        <v>6.45</v>
      </c>
      <c r="F426" s="4">
        <v>0</v>
      </c>
      <c r="G426" s="3">
        <v>0</v>
      </c>
      <c r="H426" s="5">
        <v>1056.64</v>
      </c>
      <c r="J426" s="4">
        <v>0</v>
      </c>
      <c r="K426" s="7">
        <v>1.2306</v>
      </c>
      <c r="L426" s="3">
        <v>13.56</v>
      </c>
      <c r="M426" s="3">
        <v>5.76</v>
      </c>
    </row>
    <row r="427" spans="1:13">
      <c r="A427" s="8" t="s">
        <v>438</v>
      </c>
      <c r="B427" s="2">
        <f>HYPERLINK("https://www.suredividend.com/sure-analysis-research-database/","CENTRAL PACIFIC FINANCIAL CORP")</f>
        <v>0</v>
      </c>
      <c r="C427" s="1" t="s">
        <v>1962</v>
      </c>
      <c r="D427" s="3">
        <v>32.84</v>
      </c>
      <c r="E427" s="4">
        <v>0.03</v>
      </c>
      <c r="F427" s="4">
        <v>0.03209</v>
      </c>
      <c r="G427" s="3">
        <v>1.09</v>
      </c>
      <c r="H427" s="5">
        <v>881.820319</v>
      </c>
      <c r="I427" s="6">
        <v>13.371</v>
      </c>
      <c r="J427" s="4">
        <v>0.438711</v>
      </c>
      <c r="K427" s="7">
        <v>1.023</v>
      </c>
      <c r="L427" s="3">
        <v>33.35</v>
      </c>
      <c r="M427" s="3">
        <v>22.52</v>
      </c>
    </row>
    <row r="428" spans="1:13">
      <c r="A428" s="8" t="s">
        <v>439</v>
      </c>
      <c r="B428" s="2">
        <f>HYPERLINK("https://www.suredividend.com/sure-analysis-CPK/","CHESAPEAKE UTILITIES CORP")</f>
        <v>0</v>
      </c>
      <c r="C428" s="1" t="s">
        <v>1967</v>
      </c>
      <c r="D428" s="3">
        <v>126.95</v>
      </c>
      <c r="E428" s="4">
        <v>0.02158330051201261</v>
      </c>
      <c r="F428" s="4">
        <v>0.0245</v>
      </c>
      <c r="G428" s="3">
        <v>2.7</v>
      </c>
      <c r="H428" s="5">
        <v>2997.33865</v>
      </c>
      <c r="I428" s="6">
        <v>22.8979</v>
      </c>
      <c r="J428" s="4">
        <v>0.45149</v>
      </c>
      <c r="L428" s="3">
        <v>139.83</v>
      </c>
      <c r="M428" s="3">
        <v>113.34</v>
      </c>
    </row>
    <row r="429" spans="1:13">
      <c r="A429" s="8" t="s">
        <v>440</v>
      </c>
      <c r="B429" s="2">
        <f>HYPERLINK("https://www.suredividend.com/sure-analysis-research-database/","CATALYST PHARMACEUTICALS, INC.")</f>
        <v>0</v>
      </c>
      <c r="C429" s="1" t="s">
        <v>1965</v>
      </c>
      <c r="D429" s="3">
        <v>24.22</v>
      </c>
      <c r="G429" s="3">
        <v>0</v>
      </c>
      <c r="H429" s="5">
        <v>2965.875898</v>
      </c>
      <c r="I429" s="6">
        <v>13.6322</v>
      </c>
      <c r="J429" s="4">
        <v>0</v>
      </c>
      <c r="L429" s="3">
        <v>26.58</v>
      </c>
      <c r="M429" s="3">
        <v>19.05</v>
      </c>
    </row>
    <row r="430" spans="1:13">
      <c r="A430" s="8" t="s">
        <v>441</v>
      </c>
      <c r="B430" s="2">
        <f>HYPERLINK("https://www.suredividend.com/sure-analysis-research-database/","Cooper-Standard Holdings Inc.")</f>
        <v>0</v>
      </c>
      <c r="C430" s="1" t="s">
        <v>1963</v>
      </c>
      <c r="D430" s="3">
        <v>31.655</v>
      </c>
      <c r="G430" s="3">
        <v>0</v>
      </c>
      <c r="H430" s="5">
        <v>559.269555</v>
      </c>
      <c r="I430" s="6">
        <v>17.0921</v>
      </c>
      <c r="J430" s="4">
        <v>0</v>
      </c>
    </row>
    <row r="431" spans="1:13">
      <c r="A431" s="8" t="s">
        <v>442</v>
      </c>
      <c r="B431" s="2">
        <f>HYPERLINK("https://www.suredividend.com/sure-analysis-research-database/","CONSUMER PORTFOLIO SERVICES, INC.")</f>
        <v>0</v>
      </c>
      <c r="C431" s="1" t="s">
        <v>1962</v>
      </c>
      <c r="D431" s="3">
        <v>8.449999999999999</v>
      </c>
      <c r="G431" s="3">
        <v>0</v>
      </c>
      <c r="H431" s="5">
        <v>186.058918</v>
      </c>
      <c r="I431" s="6">
        <v>9.546900000000001</v>
      </c>
      <c r="J431" s="4">
        <v>0</v>
      </c>
    </row>
    <row r="432" spans="1:13">
      <c r="A432" s="8" t="s">
        <v>443</v>
      </c>
      <c r="B432" s="2">
        <f>HYPERLINK("https://www.suredividend.com/sure-analysis-CRAI/","CRA INTERNATIONAL, INC.")</f>
        <v>0</v>
      </c>
      <c r="C432" s="1" t="s">
        <v>1964</v>
      </c>
      <c r="D432" s="3">
        <v>213.26</v>
      </c>
      <c r="E432" s="4">
        <v>0.01069117509143768</v>
      </c>
      <c r="F432" s="4">
        <v>0.00715</v>
      </c>
      <c r="G432" s="3">
        <v>0</v>
      </c>
      <c r="H432" s="5">
        <v>1401.961654</v>
      </c>
      <c r="I432" s="6">
        <v>30.0508</v>
      </c>
      <c r="J432" s="4">
        <v>0.263649</v>
      </c>
      <c r="L432" s="3">
        <v>227.29</v>
      </c>
      <c r="M432" s="3">
        <v>151.29</v>
      </c>
    </row>
    <row r="433" spans="1:13">
      <c r="A433" s="8" t="s">
        <v>444</v>
      </c>
      <c r="B433" s="2">
        <f>HYPERLINK("https://www.suredividend.com/sure-analysis-research-database/","Corbus Pharmaceuticals Holdings, Inc.")</f>
        <v>0</v>
      </c>
      <c r="C433" s="1" t="s">
        <v>1965</v>
      </c>
      <c r="D433" s="3">
        <v>8.68</v>
      </c>
      <c r="G433" s="3">
        <v>0</v>
      </c>
      <c r="H433" s="5">
        <v>152.0093</v>
      </c>
      <c r="J433" s="4">
        <v>0</v>
      </c>
    </row>
    <row r="434" spans="1:13">
      <c r="A434" s="8" t="s">
        <v>445</v>
      </c>
      <c r="B434" s="2">
        <f>HYPERLINK("https://www.suredividend.com/sure-analysis-research-database/","Caribou Biosciences, Inc.")</f>
        <v>0</v>
      </c>
      <c r="C434" s="1" t="s">
        <v>1959</v>
      </c>
      <c r="D434" s="3">
        <v>1.495</v>
      </c>
      <c r="G434" s="3">
        <v>0</v>
      </c>
      <c r="H434" s="5">
        <v>139.267377</v>
      </c>
      <c r="J434" s="4">
        <v>0</v>
      </c>
    </row>
    <row r="435" spans="1:13">
      <c r="A435" s="8" t="s">
        <v>446</v>
      </c>
      <c r="B435" s="2">
        <f>HYPERLINK("https://www.suredividend.com/sure-analysis-research-database/","California Resources Corp")</f>
        <v>0</v>
      </c>
      <c r="C435" s="1" t="s">
        <v>1969</v>
      </c>
      <c r="D435" s="3">
        <v>48.95</v>
      </c>
      <c r="E435" s="4">
        <v>0.03</v>
      </c>
      <c r="F435" s="4">
        <v>0.0227</v>
      </c>
      <c r="G435" s="3">
        <v>0</v>
      </c>
      <c r="H435" s="5">
        <v>3597.87154</v>
      </c>
      <c r="I435" s="6">
        <v>9.3695</v>
      </c>
      <c r="J435" s="4">
        <v>0.359375</v>
      </c>
    </row>
    <row r="436" spans="1:13">
      <c r="A436" s="8" t="s">
        <v>447</v>
      </c>
      <c r="B436" s="2">
        <f>HYPERLINK("https://www.suredividend.com/sure-analysis-research-database/","Cricut, Inc.")</f>
        <v>0</v>
      </c>
      <c r="C436" s="1" t="s">
        <v>1959</v>
      </c>
      <c r="D436" s="3">
        <v>4.3</v>
      </c>
      <c r="E436" s="4">
        <v>0.22</v>
      </c>
      <c r="F436" s="4">
        <v>0.11405</v>
      </c>
      <c r="G436" s="3">
        <v>0</v>
      </c>
      <c r="H436" s="5">
        <v>902.034186</v>
      </c>
      <c r="I436" s="6">
        <v>14.3567</v>
      </c>
      <c r="J436" s="4">
        <v>1.75031</v>
      </c>
    </row>
    <row r="437" spans="1:13">
      <c r="A437" s="8" t="s">
        <v>448</v>
      </c>
      <c r="B437" s="2">
        <f>HYPERLINK("https://www.suredividend.com/sure-analysis-research-database/","Croda International Plc")</f>
        <v>0</v>
      </c>
      <c r="C437" s="1" t="s">
        <v>1959</v>
      </c>
      <c r="D437" s="3">
        <v>10.81</v>
      </c>
      <c r="E437" s="4">
        <v>0.03</v>
      </c>
      <c r="F437" s="4">
        <v>0.02382</v>
      </c>
      <c r="G437" s="3">
        <v>0</v>
      </c>
      <c r="H437" s="5">
        <v>533.4395</v>
      </c>
      <c r="I437" s="6">
        <v>16.3652</v>
      </c>
      <c r="J437" s="4">
        <v>0.428955</v>
      </c>
    </row>
    <row r="438" spans="1:13">
      <c r="A438" s="8" t="s">
        <v>449</v>
      </c>
      <c r="B438" s="2">
        <f>HYPERLINK("https://www.suredividend.com/sure-analysis-research-database/","Cardiff Oncology, Inc.")</f>
        <v>0</v>
      </c>
      <c r="C438" s="1" t="s">
        <v>1959</v>
      </c>
      <c r="D438" s="3">
        <v>2.885</v>
      </c>
      <c r="G438" s="3">
        <v>0</v>
      </c>
      <c r="H438" s="5">
        <v>194.67203</v>
      </c>
      <c r="J438" s="4">
        <v>0</v>
      </c>
      <c r="L438" s="3">
        <v>4.99</v>
      </c>
      <c r="M438" s="3">
        <v>1.9</v>
      </c>
    </row>
    <row r="439" spans="1:13">
      <c r="A439" s="8" t="s">
        <v>450</v>
      </c>
      <c r="B439" s="2">
        <f>HYPERLINK("https://www.suredividend.com/sure-analysis-research-database/","Credo Technology Group Holding Ltd")</f>
        <v>0</v>
      </c>
      <c r="C439" s="1" t="s">
        <v>1959</v>
      </c>
      <c r="D439" s="3">
        <v>142.65</v>
      </c>
      <c r="G439" s="3">
        <v>0</v>
      </c>
      <c r="H439" s="5">
        <v>25136.710016</v>
      </c>
      <c r="I439" s="6">
        <v>118.5789</v>
      </c>
      <c r="J439" s="4">
        <v>0</v>
      </c>
      <c r="K439" s="7">
        <v>3.1369</v>
      </c>
      <c r="L439" s="3">
        <v>213.8</v>
      </c>
      <c r="M439" s="3">
        <v>29.09</v>
      </c>
    </row>
    <row r="440" spans="1:13">
      <c r="A440" s="8" t="s">
        <v>451</v>
      </c>
      <c r="B440" s="2">
        <f>HYPERLINK("https://www.suredividend.com/sure-analysis-research-database/","CARGO Therapeutics, Inc.")</f>
        <v>0</v>
      </c>
      <c r="C440" s="1" t="s">
        <v>1959</v>
      </c>
      <c r="D440" s="3">
        <v>4.52</v>
      </c>
      <c r="F440" s="4">
        <v>0</v>
      </c>
      <c r="G440" s="3">
        <v>0</v>
      </c>
      <c r="H440" s="5">
        <v>216.18847</v>
      </c>
      <c r="J440" s="4">
        <v>0</v>
      </c>
      <c r="K440" s="7">
        <v>1.331</v>
      </c>
    </row>
    <row r="441" spans="1:13">
      <c r="A441" s="8" t="s">
        <v>452</v>
      </c>
      <c r="B441" s="2">
        <f>HYPERLINK("https://www.suredividend.com/sure-analysis-research-database/","Crescent Energy Co")</f>
        <v>0</v>
      </c>
      <c r="C441" s="1" t="s">
        <v>1959</v>
      </c>
      <c r="D441" s="3">
        <v>8.59</v>
      </c>
      <c r="E441" s="4">
        <v>0.06</v>
      </c>
      <c r="F441" s="4">
        <v>0.05139</v>
      </c>
      <c r="G441" s="3">
        <v>0.48</v>
      </c>
      <c r="H441" s="5">
        <v>2197.47063</v>
      </c>
      <c r="I441" s="6">
        <v>93.41</v>
      </c>
      <c r="K441" s="7">
        <v>1.1738</v>
      </c>
      <c r="L441" s="3">
        <v>15.74</v>
      </c>
      <c r="M441" s="3">
        <v>6.57</v>
      </c>
    </row>
    <row r="442" spans="1:13">
      <c r="A442" s="8" t="s">
        <v>453</v>
      </c>
      <c r="B442" s="2">
        <f>HYPERLINK("https://www.suredividend.com/sure-analysis-research-database/","COMSTOCK RESOURCES INC")</f>
        <v>0</v>
      </c>
      <c r="C442" s="1" t="s">
        <v>1969</v>
      </c>
      <c r="D442" s="3">
        <v>24.39</v>
      </c>
      <c r="F442" s="4">
        <v>0.00589</v>
      </c>
      <c r="G442" s="3">
        <v>0.5</v>
      </c>
      <c r="H442" s="5">
        <v>7042.106988</v>
      </c>
      <c r="K442" s="7">
        <v>1.1894</v>
      </c>
      <c r="L442" s="3">
        <v>31.17</v>
      </c>
      <c r="M442" s="3">
        <v>14.65</v>
      </c>
    </row>
    <row r="443" spans="1:13">
      <c r="A443" s="8" t="s">
        <v>454</v>
      </c>
      <c r="B443" s="2">
        <f>HYPERLINK("https://www.suredividend.com/sure-analysis-research-database/","CorMedix Inc.")</f>
        <v>0</v>
      </c>
      <c r="C443" s="1" t="s">
        <v>1965</v>
      </c>
      <c r="D443" s="3">
        <v>7.4</v>
      </c>
      <c r="F443" s="4">
        <v>0</v>
      </c>
      <c r="G443" s="3">
        <v>0</v>
      </c>
      <c r="H443" s="5">
        <v>631.949866</v>
      </c>
      <c r="I443" s="6">
        <v>3.8889</v>
      </c>
      <c r="J443" s="4">
        <v>0</v>
      </c>
      <c r="K443" s="7">
        <v>1.6394</v>
      </c>
      <c r="L443" s="3">
        <v>17.43</v>
      </c>
      <c r="M443" s="3">
        <v>5.6</v>
      </c>
    </row>
    <row r="444" spans="1:13">
      <c r="A444" s="8" t="s">
        <v>455</v>
      </c>
      <c r="B444" s="2">
        <f>HYPERLINK("https://www.suredividend.com/sure-analysis-research-database/","AMERICAS CARMART INC")</f>
        <v>0</v>
      </c>
      <c r="C444" s="1" t="s">
        <v>1963</v>
      </c>
      <c r="D444" s="3">
        <v>27.73</v>
      </c>
      <c r="F444" s="4">
        <v>0</v>
      </c>
      <c r="G444" s="3">
        <v>0</v>
      </c>
      <c r="H444" s="5">
        <v>230.014998</v>
      </c>
      <c r="I444" s="6">
        <v>12.8557</v>
      </c>
      <c r="J444" s="4">
        <v>0.002231</v>
      </c>
      <c r="K444" s="7">
        <v>1.6737</v>
      </c>
      <c r="L444" s="3">
        <v>62.72</v>
      </c>
      <c r="M444" s="3">
        <v>17.78</v>
      </c>
    </row>
    <row r="445" spans="1:13">
      <c r="A445" s="8" t="s">
        <v>456</v>
      </c>
      <c r="B445" s="2">
        <f>HYPERLINK("https://www.suredividend.com/sure-analysis-research-database/","Cerence Inc.")</f>
        <v>0</v>
      </c>
      <c r="C445" s="1" t="s">
        <v>1960</v>
      </c>
      <c r="D445" s="3">
        <v>11.47</v>
      </c>
      <c r="F445" s="4">
        <v>0</v>
      </c>
      <c r="G445" s="3">
        <v>0</v>
      </c>
      <c r="H445" s="5">
        <v>507.807954</v>
      </c>
      <c r="J445" s="4">
        <v>0</v>
      </c>
      <c r="K445" s="7">
        <v>2.2216</v>
      </c>
      <c r="L445" s="3">
        <v>16.74</v>
      </c>
      <c r="M445" s="3">
        <v>5.94</v>
      </c>
    </row>
    <row r="446" spans="1:13">
      <c r="A446" s="8" t="s">
        <v>457</v>
      </c>
      <c r="B446" s="2">
        <f>HYPERLINK("https://www.suredividend.com/sure-analysis-research-database/","Crinetics Pharmaceuticals, Inc.")</f>
        <v>0</v>
      </c>
      <c r="C446" s="1" t="s">
        <v>1965</v>
      </c>
      <c r="D446" s="3">
        <v>55.42</v>
      </c>
      <c r="F446" s="4">
        <v>0</v>
      </c>
      <c r="G446" s="3">
        <v>0</v>
      </c>
      <c r="H446" s="5">
        <v>2987.09021</v>
      </c>
      <c r="J446" s="4">
        <v>0</v>
      </c>
      <c r="K446" s="7">
        <v>1.249</v>
      </c>
      <c r="L446" s="3">
        <v>57.99</v>
      </c>
      <c r="M446" s="3">
        <v>24.1</v>
      </c>
    </row>
    <row r="447" spans="1:13">
      <c r="A447" s="8" t="s">
        <v>458</v>
      </c>
      <c r="B447" s="2">
        <f>HYPERLINK("https://www.suredividend.com/sure-analysis-research-database/","CARPENTER TECHNOLOGY CORP")</f>
        <v>0</v>
      </c>
      <c r="C447" s="1" t="s">
        <v>1964</v>
      </c>
      <c r="D447" s="3">
        <v>338.85</v>
      </c>
      <c r="F447" s="4">
        <v>0.00235</v>
      </c>
      <c r="G447" s="3">
        <v>0.8</v>
      </c>
      <c r="H447" s="5">
        <v>16774.495556</v>
      </c>
      <c r="I447" s="6">
        <v>40.5475</v>
      </c>
      <c r="J447" s="4">
        <v>0.097414</v>
      </c>
      <c r="K447" s="7">
        <v>1.5583</v>
      </c>
      <c r="L447" s="3">
        <v>348.99</v>
      </c>
      <c r="M447" s="3">
        <v>138.22</v>
      </c>
    </row>
    <row r="448" spans="1:13">
      <c r="A448" s="8" t="s">
        <v>459</v>
      </c>
      <c r="B448" s="2">
        <f>HYPERLINK("https://www.suredividend.com/sure-analysis-research-database/","Corsair Gaming, Inc.")</f>
        <v>0</v>
      </c>
      <c r="C448" s="1" t="s">
        <v>1959</v>
      </c>
      <c r="D448" s="3">
        <v>5.52</v>
      </c>
      <c r="G448" s="3">
        <v>0</v>
      </c>
      <c r="H448" s="5">
        <v>584.032151</v>
      </c>
      <c r="L448" s="3">
        <v>13.02</v>
      </c>
      <c r="M448" s="3">
        <v>5.35</v>
      </c>
    </row>
    <row r="449" spans="1:13">
      <c r="A449" s="8" t="s">
        <v>460</v>
      </c>
      <c r="B449" s="2">
        <f>HYPERLINK("https://www.suredividend.com/sure-analysis-research-database/","CORVEL CORP")</f>
        <v>0</v>
      </c>
      <c r="C449" s="1" t="s">
        <v>1962</v>
      </c>
      <c r="D449" s="3">
        <v>70.03</v>
      </c>
      <c r="G449" s="3">
        <v>0</v>
      </c>
      <c r="H449" s="5">
        <v>3582.674205</v>
      </c>
      <c r="I449" s="6">
        <v>35.5343</v>
      </c>
      <c r="J449" s="4">
        <v>0</v>
      </c>
      <c r="L449" s="3">
        <v>128.61</v>
      </c>
      <c r="M449" s="3">
        <v>65.47</v>
      </c>
    </row>
    <row r="450" spans="1:13">
      <c r="A450" s="8" t="s">
        <v>461</v>
      </c>
      <c r="B450" s="2">
        <f>HYPERLINK("https://www.suredividend.com/sure-analysis-research-database/","CervoMed Inc.")</f>
        <v>0</v>
      </c>
      <c r="C450" s="1" t="s">
        <v>1959</v>
      </c>
      <c r="D450" s="3">
        <v>6.58</v>
      </c>
      <c r="G450" s="3">
        <v>0</v>
      </c>
      <c r="H450" s="5">
        <v>61.438054</v>
      </c>
      <c r="J450" s="4">
        <v>0</v>
      </c>
    </row>
    <row r="451" spans="1:13">
      <c r="A451" s="8" t="s">
        <v>462</v>
      </c>
      <c r="B451" s="2">
        <f>HYPERLINK("https://www.suredividend.com/sure-analysis-CSGS/","CSG SYSTEMS INTERNATIONAL INC")</f>
        <v>0</v>
      </c>
      <c r="C451" s="1" t="s">
        <v>1960</v>
      </c>
      <c r="D451" s="3">
        <v>79.90000000000001</v>
      </c>
      <c r="E451" s="4">
        <v>0.01602002503128911</v>
      </c>
      <c r="F451" s="4">
        <v>0.0153</v>
      </c>
      <c r="G451" s="3">
        <v>0</v>
      </c>
      <c r="H451" s="5">
        <v>2274.769318</v>
      </c>
      <c r="I451" s="6">
        <v>27.2924</v>
      </c>
      <c r="J451" s="4">
        <v>0.329042</v>
      </c>
      <c r="L451" s="3">
        <v>79.76000000000001</v>
      </c>
      <c r="M451" s="3">
        <v>51.93</v>
      </c>
    </row>
    <row r="452" spans="1:13">
      <c r="A452" s="8" t="s">
        <v>463</v>
      </c>
      <c r="B452" s="2">
        <f>HYPERLINK("https://www.suredividend.com/sure-analysis-CSR/","CENTERSPACE")</f>
        <v>0</v>
      </c>
      <c r="C452" s="1" t="s">
        <v>1959</v>
      </c>
      <c r="D452" s="3">
        <v>64.87</v>
      </c>
      <c r="E452" s="4">
        <v>0.04747957453368275</v>
      </c>
      <c r="F452" s="4">
        <v>0.0445</v>
      </c>
      <c r="G452" s="3">
        <v>0</v>
      </c>
      <c r="H452" s="5">
        <v>1083.2199</v>
      </c>
      <c r="I452" s="6">
        <v>35.5679</v>
      </c>
      <c r="J452" s="4">
        <v>1.559629</v>
      </c>
      <c r="L452" s="3">
        <v>68.36</v>
      </c>
      <c r="M452" s="3">
        <v>51.48</v>
      </c>
    </row>
    <row r="453" spans="1:13">
      <c r="A453" s="8" t="s">
        <v>464</v>
      </c>
      <c r="B453" s="2">
        <f>HYPERLINK("https://www.suredividend.com/sure-analysis-research-database/","Caesarstone Ltd.")</f>
        <v>0</v>
      </c>
      <c r="C453" s="1" t="s">
        <v>1964</v>
      </c>
      <c r="D453" s="3">
        <v>2.03</v>
      </c>
      <c r="F453" s="4">
        <v>0.056</v>
      </c>
      <c r="G453" s="3">
        <v>0</v>
      </c>
      <c r="H453" s="5">
        <v>70.480062</v>
      </c>
      <c r="J453" s="4">
        <v>0</v>
      </c>
    </row>
    <row r="454" spans="1:13">
      <c r="A454" s="8" t="s">
        <v>465</v>
      </c>
      <c r="B454" s="2">
        <f>HYPERLINK("https://www.suredividend.com/sure-analysis-research-database/","CASTLE BIOSCIENCES INC")</f>
        <v>0</v>
      </c>
      <c r="C454" s="1" t="s">
        <v>1965</v>
      </c>
      <c r="D454" s="3">
        <v>41.03</v>
      </c>
      <c r="G454" s="3">
        <v>0</v>
      </c>
      <c r="H454" s="5">
        <v>1196.151246</v>
      </c>
      <c r="J454" s="4">
        <v>0</v>
      </c>
      <c r="L454" s="3">
        <v>42.18</v>
      </c>
      <c r="M454" s="3">
        <v>14.59</v>
      </c>
    </row>
    <row r="455" spans="1:13">
      <c r="A455" s="8" t="s">
        <v>466</v>
      </c>
      <c r="B455" s="2">
        <f>HYPERLINK("https://www.suredividend.com/sure-analysis-research-database/","CONSTELLIUM SE")</f>
        <v>0</v>
      </c>
      <c r="C455" s="1" t="s">
        <v>1970</v>
      </c>
      <c r="D455" s="3">
        <v>23.015</v>
      </c>
      <c r="G455" s="3">
        <v>0</v>
      </c>
      <c r="H455" s="5">
        <v>3170.818935</v>
      </c>
      <c r="I455" s="6">
        <v>28.0603</v>
      </c>
      <c r="J455" s="4">
        <v>0.069565</v>
      </c>
    </row>
    <row r="456" spans="1:13">
      <c r="A456" s="8" t="s">
        <v>467</v>
      </c>
      <c r="B456" s="2">
        <f>HYPERLINK("https://www.suredividend.com/sure-analysis-research-database/","CARRIAGE SERVICES INC")</f>
        <v>0</v>
      </c>
      <c r="C456" s="1" t="s">
        <v>1963</v>
      </c>
      <c r="D456" s="3">
        <v>42.83</v>
      </c>
      <c r="E456" s="4">
        <v>0.01</v>
      </c>
      <c r="F456" s="4">
        <v>0.01047</v>
      </c>
      <c r="G456" s="3">
        <v>0</v>
      </c>
      <c r="H456" s="5">
        <v>674.996424</v>
      </c>
      <c r="I456" s="6">
        <v>14.6981</v>
      </c>
      <c r="J456" s="4">
        <v>0.15162</v>
      </c>
    </row>
    <row r="457" spans="1:13">
      <c r="A457" s="8" t="s">
        <v>468</v>
      </c>
      <c r="B457" s="2">
        <f>HYPERLINK("https://www.suredividend.com/sure-analysis-research-database/","CSW Industrials Inc.")</f>
        <v>0</v>
      </c>
      <c r="C457" s="1" t="s">
        <v>1964</v>
      </c>
      <c r="D457" s="3">
        <v>317.81</v>
      </c>
      <c r="G457" s="3">
        <v>0</v>
      </c>
      <c r="K457" s="7">
        <v>0.1393</v>
      </c>
    </row>
    <row r="458" spans="1:13">
      <c r="A458" s="8" t="s">
        <v>469</v>
      </c>
      <c r="B458" s="2">
        <f>HYPERLINK("https://www.suredividend.com/sure-analysis-CTBI/","COMMUNITY TRUST BANCORP INC /KY/")</f>
        <v>0</v>
      </c>
      <c r="C458" s="1" t="s">
        <v>1962</v>
      </c>
      <c r="D458" s="3">
        <v>64.89</v>
      </c>
      <c r="E458" s="4">
        <v>0.03267067344737248</v>
      </c>
      <c r="F458" s="4">
        <v>0.03114</v>
      </c>
      <c r="G458" s="3">
        <v>2</v>
      </c>
      <c r="H458" s="5">
        <v>1175.990208</v>
      </c>
      <c r="I458" s="6">
        <v>12.6078</v>
      </c>
      <c r="J458" s="4">
        <v>0.37412</v>
      </c>
      <c r="K458" s="7">
        <v>0.653</v>
      </c>
      <c r="L458" s="3">
        <v>64.98999999999999</v>
      </c>
      <c r="M458" s="3">
        <v>43.4</v>
      </c>
    </row>
    <row r="459" spans="1:13">
      <c r="A459" s="8" t="s">
        <v>470</v>
      </c>
      <c r="B459" s="2">
        <f>HYPERLINK("https://www.suredividend.com/sure-analysis-research-database/","Contango ORE, Inc.")</f>
        <v>0</v>
      </c>
      <c r="C459" s="1" t="s">
        <v>1970</v>
      </c>
      <c r="D459" s="3">
        <v>30.85</v>
      </c>
      <c r="F459" s="4">
        <v>0</v>
      </c>
      <c r="G459" s="3">
        <v>0</v>
      </c>
      <c r="H459" s="5">
        <v>461.49124</v>
      </c>
      <c r="J459" s="4">
        <v>0</v>
      </c>
      <c r="K459" s="7">
        <v>0.8038</v>
      </c>
      <c r="L459" s="3">
        <v>32.13</v>
      </c>
      <c r="M459" s="3">
        <v>8.85</v>
      </c>
    </row>
    <row r="460" spans="1:13">
      <c r="A460" s="8" t="s">
        <v>471</v>
      </c>
      <c r="B460" s="2">
        <f>HYPERLINK("https://www.suredividend.com/sure-analysis-research-database/","Cytek Biosciences, Inc.")</f>
        <v>0</v>
      </c>
      <c r="C460" s="1" t="s">
        <v>1959</v>
      </c>
      <c r="D460" s="3">
        <v>5.515</v>
      </c>
      <c r="F460" s="4">
        <v>0</v>
      </c>
      <c r="G460" s="3">
        <v>0</v>
      </c>
      <c r="H460" s="5">
        <v>705.813862</v>
      </c>
      <c r="J460" s="4">
        <v>0</v>
      </c>
      <c r="K460" s="7">
        <v>1.6521</v>
      </c>
      <c r="L460" s="3">
        <v>6.18</v>
      </c>
      <c r="M460" s="3">
        <v>2.37</v>
      </c>
    </row>
    <row r="461" spans="1:13">
      <c r="A461" s="8" t="s">
        <v>472</v>
      </c>
      <c r="B461" s="2">
        <f>HYPERLINK("https://www.suredividend.com/sure-analysis-research-database/","CANTALOUPE, INC.")</f>
        <v>0</v>
      </c>
      <c r="C461" s="1" t="s">
        <v>1959</v>
      </c>
      <c r="D461" s="3">
        <v>10.83</v>
      </c>
      <c r="F461" s="4">
        <v>0</v>
      </c>
      <c r="G461" s="3">
        <v>0</v>
      </c>
      <c r="H461" s="5">
        <v>797.404018</v>
      </c>
      <c r="I461" s="6">
        <v>13.4099</v>
      </c>
      <c r="J461" s="4">
        <v>0</v>
      </c>
      <c r="K461" s="7">
        <v>0.7939000000000001</v>
      </c>
      <c r="L461" s="3">
        <v>11.36</v>
      </c>
      <c r="M461" s="3">
        <v>7.01</v>
      </c>
    </row>
    <row r="462" spans="1:13">
      <c r="A462" s="8" t="s">
        <v>473</v>
      </c>
      <c r="B462" s="2">
        <f>HYPERLINK("https://www.suredividend.com/sure-analysis-research-database/","Contineum Therapeutics, Inc.")</f>
        <v>0</v>
      </c>
      <c r="C462" s="1" t="s">
        <v>1959</v>
      </c>
      <c r="D462" s="3">
        <v>12.2</v>
      </c>
      <c r="F462" s="4">
        <v>0</v>
      </c>
      <c r="G462" s="3">
        <v>0</v>
      </c>
      <c r="H462" s="5">
        <v>281.809911</v>
      </c>
      <c r="J462" s="4">
        <v>0</v>
      </c>
      <c r="K462" s="7">
        <v>0.5944</v>
      </c>
      <c r="L462" s="3">
        <v>13.49</v>
      </c>
      <c r="M462" s="3">
        <v>3.35</v>
      </c>
    </row>
    <row r="463" spans="1:13">
      <c r="A463" s="8" t="s">
        <v>474</v>
      </c>
      <c r="B463" s="2">
        <f>HYPERLINK("https://www.suredividend.com/sure-analysis-research-database/","CTO Realty Growth, Inc.")</f>
        <v>0</v>
      </c>
      <c r="C463" s="1" t="s">
        <v>1961</v>
      </c>
      <c r="D463" s="3">
        <v>18.135</v>
      </c>
      <c r="E463" s="4">
        <v>0.08</v>
      </c>
      <c r="F463" s="4">
        <v>0.07981000000000001</v>
      </c>
      <c r="G463" s="3">
        <v>1.52</v>
      </c>
      <c r="H463" s="5">
        <v>587.233359</v>
      </c>
      <c r="K463" s="7">
        <v>0.5894</v>
      </c>
      <c r="L463" s="3">
        <v>19.19</v>
      </c>
      <c r="M463" s="3">
        <v>14.75</v>
      </c>
    </row>
    <row r="464" spans="1:13">
      <c r="A464" s="8" t="s">
        <v>475</v>
      </c>
      <c r="B464" s="2">
        <f>HYPERLINK("https://www.suredividend.com/sure-analysis-research-database/","Custom Truck One Source, Inc.")</f>
        <v>0</v>
      </c>
      <c r="C464" s="1" t="s">
        <v>1959</v>
      </c>
      <c r="D464" s="3">
        <v>6.44</v>
      </c>
      <c r="F464" s="4">
        <v>0</v>
      </c>
      <c r="G464" s="3">
        <v>0</v>
      </c>
      <c r="H464" s="5">
        <v>1461.30933</v>
      </c>
      <c r="J464" s="4">
        <v>0</v>
      </c>
      <c r="K464" s="7">
        <v>1.5041</v>
      </c>
      <c r="L464" s="3">
        <v>6.78</v>
      </c>
      <c r="M464" s="3">
        <v>3.18</v>
      </c>
    </row>
    <row r="465" spans="1:13">
      <c r="A465" s="8" t="s">
        <v>476</v>
      </c>
      <c r="B465" s="2">
        <f>HYPERLINK("https://www.suredividend.com/sure-analysis-CTRE/","CareTrust REIT, Inc.")</f>
        <v>0</v>
      </c>
      <c r="C465" s="1" t="s">
        <v>1961</v>
      </c>
      <c r="D465" s="3">
        <v>37.93</v>
      </c>
      <c r="E465" s="4">
        <v>0.03532823622462431</v>
      </c>
      <c r="F465" s="4">
        <v>0.03103</v>
      </c>
      <c r="G465" s="3">
        <v>1.34</v>
      </c>
      <c r="H465" s="5">
        <v>8349.19904</v>
      </c>
      <c r="I465" s="6">
        <v>31.9424</v>
      </c>
      <c r="J465" s="4">
        <v>0.915786</v>
      </c>
      <c r="K465" s="7">
        <v>0.3674</v>
      </c>
      <c r="L465" s="3">
        <v>38.23</v>
      </c>
      <c r="M465" s="3">
        <v>23.78</v>
      </c>
    </row>
    <row r="466" spans="1:13">
      <c r="A466" s="8" t="s">
        <v>477</v>
      </c>
      <c r="B466" s="2">
        <f>HYPERLINK("https://www.suredividend.com/sure-analysis-research-database/","Centuri Holdings, Inc.")</f>
        <v>0</v>
      </c>
      <c r="C466" s="1" t="s">
        <v>1959</v>
      </c>
      <c r="D466" s="3">
        <v>28.27</v>
      </c>
      <c r="F466" s="4">
        <v>0</v>
      </c>
      <c r="G466" s="3">
        <v>0</v>
      </c>
      <c r="H466" s="5">
        <v>2506.111584</v>
      </c>
      <c r="I466" s="6">
        <v>996.8622</v>
      </c>
      <c r="J466" s="4">
        <v>0</v>
      </c>
      <c r="K466" s="7">
        <v>1.0118</v>
      </c>
      <c r="L466" s="3">
        <v>28.09</v>
      </c>
      <c r="M466" s="3">
        <v>14.46</v>
      </c>
    </row>
    <row r="467" spans="1:13">
      <c r="A467" s="8" t="s">
        <v>478</v>
      </c>
      <c r="B467" s="2">
        <f>HYPERLINK("https://www.suredividend.com/sure-analysis-research-database/","Citi Trends Inc")</f>
        <v>0</v>
      </c>
      <c r="C467" s="1" t="s">
        <v>1963</v>
      </c>
      <c r="D467" s="3">
        <v>45.8</v>
      </c>
      <c r="F467" s="4">
        <v>0</v>
      </c>
      <c r="G467" s="3">
        <v>0.32</v>
      </c>
      <c r="H467" s="5">
        <v>384.132318</v>
      </c>
      <c r="J467" s="4">
        <v>0</v>
      </c>
      <c r="K467" s="7">
        <v>1.3577</v>
      </c>
      <c r="L467" s="3">
        <v>49.5</v>
      </c>
      <c r="M467" s="3">
        <v>16.82</v>
      </c>
    </row>
    <row r="468" spans="1:13">
      <c r="A468" s="8" t="s">
        <v>479</v>
      </c>
      <c r="B468" s="2">
        <f>HYPERLINK("https://www.suredividend.com/sure-analysis-research-database/","CTS CORP")</f>
        <v>0</v>
      </c>
      <c r="C468" s="1" t="s">
        <v>1960</v>
      </c>
      <c r="D468" s="3">
        <v>49.98</v>
      </c>
      <c r="F468" s="4">
        <v>0.00351</v>
      </c>
      <c r="G468" s="3">
        <v>0</v>
      </c>
      <c r="H468" s="5">
        <v>1450.296956</v>
      </c>
      <c r="I468" s="6">
        <v>24.2585</v>
      </c>
      <c r="J468" s="4">
        <v>0.080137</v>
      </c>
      <c r="L468" s="3">
        <v>53.08</v>
      </c>
      <c r="M468" s="3">
        <v>33.92</v>
      </c>
    </row>
    <row r="469" spans="1:13">
      <c r="A469" s="8" t="s">
        <v>480</v>
      </c>
      <c r="B469" s="2">
        <f>HYPERLINK("https://www.suredividend.com/sure-analysis-research-database/","Customers Bancorp, Inc.")</f>
        <v>0</v>
      </c>
      <c r="C469" s="1" t="s">
        <v>1962</v>
      </c>
      <c r="D469" s="3">
        <v>80.2</v>
      </c>
      <c r="G469" s="3">
        <v>0</v>
      </c>
      <c r="H469" s="5">
        <v>2740.279775</v>
      </c>
      <c r="I469" s="6">
        <v>16.8777</v>
      </c>
      <c r="J469" s="4">
        <v>0.070823</v>
      </c>
      <c r="L469" s="3">
        <v>79.98999999999999</v>
      </c>
      <c r="M469" s="3">
        <v>40.75</v>
      </c>
    </row>
    <row r="470" spans="1:13">
      <c r="A470" s="8" t="s">
        <v>481</v>
      </c>
      <c r="B470" s="2">
        <f>HYPERLINK("https://www.suredividend.com/sure-analysis-research-database/","Curbline Properties Corp.")</f>
        <v>0</v>
      </c>
      <c r="C470" s="1" t="s">
        <v>1959</v>
      </c>
      <c r="D470" s="3">
        <v>24.4</v>
      </c>
      <c r="E470" s="4">
        <v>0.04</v>
      </c>
      <c r="F470" s="4">
        <v>0.007889999999999999</v>
      </c>
      <c r="G470" s="3">
        <v>0</v>
      </c>
      <c r="H470" s="5">
        <v>2572.035809</v>
      </c>
      <c r="I470" s="6">
        <v>61.6071</v>
      </c>
      <c r="J470" s="4">
        <v>0</v>
      </c>
    </row>
    <row r="471" spans="1:13">
      <c r="A471" s="8" t="s">
        <v>482</v>
      </c>
      <c r="B471" s="2">
        <f>HYPERLINK("https://www.suredividend.com/sure-analysis-research-database/","Torrid Holdings Inc.")</f>
        <v>0</v>
      </c>
      <c r="C471" s="1" t="s">
        <v>1959</v>
      </c>
      <c r="D471" s="3">
        <v>1.26</v>
      </c>
      <c r="G471" s="3">
        <v>0</v>
      </c>
      <c r="H471" s="5">
        <v>122.012239</v>
      </c>
      <c r="I471" s="6">
        <v>12.2441</v>
      </c>
      <c r="J471" s="4">
        <v>0</v>
      </c>
    </row>
    <row r="472" spans="1:13">
      <c r="A472" s="8" t="s">
        <v>483</v>
      </c>
      <c r="B472" s="2">
        <f>HYPERLINK("https://www.suredividend.com/sure-analysis-research-database/","CVB FINANCIAL CORP")</f>
        <v>0</v>
      </c>
      <c r="C472" s="1" t="s">
        <v>1962</v>
      </c>
      <c r="D472" s="3">
        <v>20.8</v>
      </c>
      <c r="E472" s="4">
        <v>0.04</v>
      </c>
      <c r="F472" s="4">
        <v>0.0408</v>
      </c>
      <c r="G472" s="3">
        <v>0</v>
      </c>
      <c r="H472" s="5">
        <v>2845.628614</v>
      </c>
      <c r="I472" s="6">
        <v>14.8779</v>
      </c>
      <c r="J472" s="4">
        <v>0.543245</v>
      </c>
      <c r="L472" s="3">
        <v>20.9</v>
      </c>
      <c r="M472" s="3">
        <v>15.53</v>
      </c>
    </row>
    <row r="473" spans="1:13">
      <c r="A473" s="8" t="s">
        <v>484</v>
      </c>
      <c r="B473" s="2">
        <f>HYPERLINK("https://www.suredividend.com/sure-analysis-research-database/","CAVCO INDUSTRIES INC.")</f>
        <v>0</v>
      </c>
      <c r="C473" s="1" t="s">
        <v>1963</v>
      </c>
      <c r="D473" s="3">
        <v>696.45</v>
      </c>
      <c r="G473" s="3">
        <v>0</v>
      </c>
      <c r="H473" s="5">
        <v>5443.232804</v>
      </c>
      <c r="I473" s="6">
        <v>27.6632</v>
      </c>
      <c r="J473" s="4">
        <v>0</v>
      </c>
      <c r="L473" s="3">
        <v>708.9</v>
      </c>
      <c r="M473" s="3">
        <v>393.53</v>
      </c>
    </row>
    <row r="474" spans="1:13">
      <c r="A474" s="8" t="s">
        <v>485</v>
      </c>
      <c r="B474" s="2">
        <f>HYPERLINK("https://www.suredividend.com/sure-analysis-research-database/","Commercial Vehicle Group, Inc.")</f>
        <v>0</v>
      </c>
      <c r="C474" s="1" t="s">
        <v>1963</v>
      </c>
      <c r="D474" s="3">
        <v>1.63</v>
      </c>
      <c r="G474" s="3">
        <v>0</v>
      </c>
      <c r="H474" s="5">
        <v>59.504837</v>
      </c>
      <c r="J474" s="4">
        <v>0</v>
      </c>
    </row>
    <row r="475" spans="1:13">
      <c r="A475" s="8" t="s">
        <v>486</v>
      </c>
      <c r="B475" s="2">
        <f>HYPERLINK("https://www.suredividend.com/sure-analysis-research-database/","CALAVO GROWERS INC")</f>
        <v>0</v>
      </c>
      <c r="C475" s="1" t="s">
        <v>1966</v>
      </c>
      <c r="D475" s="3">
        <v>26.23</v>
      </c>
      <c r="E475" s="4">
        <v>0.03</v>
      </c>
      <c r="F475" s="4">
        <v>0.02814</v>
      </c>
      <c r="G475" s="3">
        <v>0</v>
      </c>
      <c r="H475" s="5">
        <v>470.981982</v>
      </c>
      <c r="I475" s="6">
        <v>23.7918</v>
      </c>
      <c r="J475" s="4">
        <v>0.715473</v>
      </c>
      <c r="L475" s="3">
        <v>28.24</v>
      </c>
      <c r="M475" s="3">
        <v>18.23</v>
      </c>
    </row>
    <row r="476" spans="1:13">
      <c r="A476" s="8" t="s">
        <v>487</v>
      </c>
      <c r="B476" s="2">
        <f>HYPERLINK("https://www.suredividend.com/sure-analysis-research-database/","CVR ENERGY INC")</f>
        <v>0</v>
      </c>
      <c r="C476" s="1" t="s">
        <v>1969</v>
      </c>
      <c r="D476" s="3">
        <v>25.02</v>
      </c>
      <c r="F476" s="4">
        <v>0.08241999999999999</v>
      </c>
      <c r="G476" s="3">
        <v>0</v>
      </c>
      <c r="H476" s="5">
        <v>2516.280893</v>
      </c>
      <c r="I476" s="6">
        <v>15.2502</v>
      </c>
      <c r="J476" s="4">
        <v>0.244898</v>
      </c>
      <c r="L476" s="3">
        <v>41.67</v>
      </c>
      <c r="M476" s="3">
        <v>15.1</v>
      </c>
    </row>
    <row r="477" spans="1:13">
      <c r="A477" s="8" t="s">
        <v>488</v>
      </c>
      <c r="B477" s="2">
        <f>HYPERLINK("https://www.suredividend.com/sure-analysis-research-database/","COVENANT LOGISTICS GROUP, INC.")</f>
        <v>0</v>
      </c>
      <c r="C477" s="1" t="s">
        <v>1959</v>
      </c>
      <c r="D477" s="3">
        <v>26.56</v>
      </c>
      <c r="E477" s="4">
        <v>0.01</v>
      </c>
      <c r="F477" s="4">
        <v>0.00698</v>
      </c>
      <c r="G477" s="3">
        <v>0</v>
      </c>
      <c r="H477" s="5">
        <v>665.253048</v>
      </c>
      <c r="I477" s="6">
        <v>20.6498</v>
      </c>
      <c r="J477" s="4">
        <v>0.213031</v>
      </c>
      <c r="K477" s="7">
        <v>1.0997</v>
      </c>
      <c r="L477" s="3">
        <v>29.12</v>
      </c>
      <c r="M477" s="3">
        <v>17.3</v>
      </c>
    </row>
    <row r="478" spans="1:13">
      <c r="A478" s="8" t="s">
        <v>489</v>
      </c>
      <c r="B478" s="2">
        <f>HYPERLINK("https://www.suredividend.com/sure-analysis-research-database/","COMMVAULT SYSTEMS INC")</f>
        <v>0</v>
      </c>
      <c r="C478" s="1" t="s">
        <v>1960</v>
      </c>
      <c r="D478" s="3">
        <v>119.94</v>
      </c>
      <c r="F478" s="4">
        <v>0</v>
      </c>
      <c r="G478" s="3">
        <v>0</v>
      </c>
      <c r="H478" s="5">
        <v>5271.040033</v>
      </c>
      <c r="I478" s="6">
        <v>65.6909</v>
      </c>
      <c r="J478" s="4">
        <v>0</v>
      </c>
      <c r="K478" s="7">
        <v>1.1952</v>
      </c>
      <c r="L478" s="3">
        <v>200.68</v>
      </c>
      <c r="M478" s="3">
        <v>114.47</v>
      </c>
    </row>
    <row r="479" spans="1:13">
      <c r="A479" s="8" t="s">
        <v>490</v>
      </c>
      <c r="B479" s="2">
        <f>HYPERLINK("https://www.suredividend.com/sure-analysis-research-database/","CVRx, Inc.")</f>
        <v>0</v>
      </c>
      <c r="C479" s="1" t="s">
        <v>1959</v>
      </c>
      <c r="D479" s="3">
        <v>6.04</v>
      </c>
      <c r="F479" s="4">
        <v>0</v>
      </c>
      <c r="G479" s="3">
        <v>0</v>
      </c>
      <c r="H479" s="5">
        <v>158.309058</v>
      </c>
      <c r="J479" s="4">
        <v>0</v>
      </c>
      <c r="K479" s="7">
        <v>1.6055</v>
      </c>
      <c r="L479" s="3">
        <v>18.2</v>
      </c>
      <c r="M479" s="3">
        <v>4.3</v>
      </c>
    </row>
    <row r="480" spans="1:13">
      <c r="A480" s="8" t="s">
        <v>491</v>
      </c>
      <c r="B480" s="2">
        <f>HYPERLINK("https://www.suredividend.com/sure-analysis-research-database/","Clearwater Analytics Holdings, Inc.")</f>
        <v>0</v>
      </c>
      <c r="C480" s="1" t="s">
        <v>1959</v>
      </c>
      <c r="D480" s="3">
        <v>24.4</v>
      </c>
      <c r="F480" s="4">
        <v>0</v>
      </c>
      <c r="G480" s="3">
        <v>0</v>
      </c>
      <c r="H480" s="5">
        <v>7120.428846</v>
      </c>
      <c r="I480" s="6">
        <v>18.1537</v>
      </c>
      <c r="J480" s="4">
        <v>0.009802</v>
      </c>
      <c r="K480" s="7">
        <v>0.9483</v>
      </c>
      <c r="L480" s="3">
        <v>32</v>
      </c>
      <c r="M480" s="3">
        <v>15.74</v>
      </c>
    </row>
    <row r="481" spans="1:13">
      <c r="A481" s="8" t="s">
        <v>492</v>
      </c>
      <c r="B481" s="2">
        <f>HYPERLINK("https://www.suredividend.com/sure-analysis-research-database/","Community West Bancshares")</f>
        <v>0</v>
      </c>
      <c r="C481" s="1" t="s">
        <v>1962</v>
      </c>
      <c r="D481" s="3">
        <v>23.76</v>
      </c>
      <c r="E481" s="4">
        <v>0.03</v>
      </c>
      <c r="F481" s="4">
        <v>0.02133</v>
      </c>
      <c r="G481" s="3">
        <v>0.6</v>
      </c>
      <c r="H481" s="5">
        <v>454.044476</v>
      </c>
      <c r="I481" s="6">
        <v>13.3964</v>
      </c>
      <c r="J481" s="4">
        <v>0.269554</v>
      </c>
      <c r="K481" s="7">
        <v>0.966</v>
      </c>
      <c r="L481" s="3">
        <v>24.37</v>
      </c>
      <c r="M481" s="3">
        <v>15.28</v>
      </c>
    </row>
    <row r="482" spans="1:13">
      <c r="A482" s="8" t="s">
        <v>493</v>
      </c>
      <c r="B482" s="2">
        <f>HYPERLINK("https://www.suredividend.com/sure-analysis-research-database/","Consolidated Water Co. Ltd.")</f>
        <v>0</v>
      </c>
      <c r="C482" s="1" t="s">
        <v>1967</v>
      </c>
      <c r="D482" s="3">
        <v>37.6</v>
      </c>
      <c r="E482" s="4">
        <v>0.01</v>
      </c>
      <c r="F482" s="4">
        <v>0.01131</v>
      </c>
      <c r="G482" s="3">
        <v>0.53</v>
      </c>
      <c r="H482" s="5">
        <v>587.069732</v>
      </c>
      <c r="I482" s="6">
        <v>34.5316</v>
      </c>
      <c r="J482" s="4">
        <v>0.444633</v>
      </c>
      <c r="K482" s="7">
        <v>0.6506</v>
      </c>
      <c r="L482" s="3">
        <v>38.21</v>
      </c>
      <c r="M482" s="3">
        <v>22.41</v>
      </c>
    </row>
    <row r="483" spans="1:13">
      <c r="A483" s="8" t="s">
        <v>494</v>
      </c>
      <c r="B483" s="2">
        <f>HYPERLINK("https://www.suredividend.com/sure-analysis-research-database/","Camping World Holdings, Inc.")</f>
        <v>0</v>
      </c>
      <c r="C483" s="1" t="s">
        <v>1963</v>
      </c>
      <c r="D483" s="3">
        <v>14.35</v>
      </c>
      <c r="E483" s="4">
        <v>0.03</v>
      </c>
      <c r="F483" s="4">
        <v>0.11608</v>
      </c>
      <c r="G483" s="3">
        <v>0.5</v>
      </c>
      <c r="H483" s="5">
        <v>1465.765846</v>
      </c>
      <c r="K483" s="7">
        <v>2.0426</v>
      </c>
      <c r="L483" s="3">
        <v>23.55</v>
      </c>
      <c r="M483" s="3">
        <v>9.380000000000001</v>
      </c>
    </row>
    <row r="484" spans="1:13">
      <c r="A484" s="8" t="s">
        <v>495</v>
      </c>
      <c r="B484" s="2">
        <f>HYPERLINK("https://www.suredividend.com/sure-analysis-research-database/","Cushman &amp; Wakefield plc")</f>
        <v>0</v>
      </c>
      <c r="C484" s="1" t="s">
        <v>1961</v>
      </c>
      <c r="D484" s="3">
        <v>17.02</v>
      </c>
      <c r="F484" s="4">
        <v>0</v>
      </c>
      <c r="G484" s="3">
        <v>0</v>
      </c>
      <c r="H484" s="5">
        <v>3944.225452</v>
      </c>
      <c r="I484" s="6">
        <v>17.6475</v>
      </c>
      <c r="J484" s="4">
        <v>0</v>
      </c>
      <c r="L484" s="3">
        <v>17.21</v>
      </c>
      <c r="M484" s="3">
        <v>15</v>
      </c>
    </row>
    <row r="485" spans="1:13">
      <c r="A485" s="8" t="s">
        <v>496</v>
      </c>
      <c r="B485" s="2">
        <f>HYPERLINK("https://www.suredividend.com/sure-analysis-research-database/","CASELLA WASTE SYSTEMS INC")</f>
        <v>0</v>
      </c>
      <c r="C485" s="1" t="s">
        <v>1964</v>
      </c>
      <c r="D485" s="3">
        <v>105.73</v>
      </c>
      <c r="F485" s="4">
        <v>0</v>
      </c>
      <c r="G485" s="3">
        <v>0</v>
      </c>
      <c r="H485" s="5">
        <v>6712.846653</v>
      </c>
      <c r="I485" s="6">
        <v>607.7723999999999</v>
      </c>
      <c r="J485" s="4">
        <v>0</v>
      </c>
      <c r="K485" s="7">
        <v>0.405</v>
      </c>
      <c r="L485" s="3">
        <v>121.24</v>
      </c>
      <c r="M485" s="3">
        <v>82.22</v>
      </c>
    </row>
    <row r="486" spans="1:13">
      <c r="A486" s="8" t="s">
        <v>497</v>
      </c>
      <c r="B486" s="2">
        <f>HYPERLINK("https://www.suredividend.com/sure-analysis-CWT/","CALIFORNIA WATER SERVICE GROUP")</f>
        <v>0</v>
      </c>
      <c r="C486" s="1" t="s">
        <v>1967</v>
      </c>
      <c r="D486" s="3">
        <v>44.635</v>
      </c>
      <c r="E486" s="4">
        <v>0.02688473171278145</v>
      </c>
      <c r="F486" s="4">
        <v>0.02456</v>
      </c>
      <c r="G486" s="3">
        <v>1.24</v>
      </c>
      <c r="H486" s="5">
        <v>2660.157462</v>
      </c>
      <c r="I486" s="6">
        <v>19.5043</v>
      </c>
      <c r="J486" s="4">
        <v>0.540506</v>
      </c>
      <c r="K486" s="7">
        <v>0.2569</v>
      </c>
      <c r="L486" s="3">
        <v>50.65</v>
      </c>
      <c r="M486" s="3">
        <v>41.29</v>
      </c>
    </row>
    <row r="487" spans="1:13">
      <c r="A487" s="8" t="s">
        <v>498</v>
      </c>
      <c r="B487" s="2">
        <f>HYPERLINK("https://www.suredividend.com/sure-analysis-research-database/","Sprinklr, Inc.")</f>
        <v>0</v>
      </c>
      <c r="C487" s="1" t="s">
        <v>1959</v>
      </c>
      <c r="D487" s="3">
        <v>6.6</v>
      </c>
      <c r="F487" s="4">
        <v>0</v>
      </c>
      <c r="G487" s="3">
        <v>0</v>
      </c>
      <c r="H487" s="5">
        <v>1642.929666</v>
      </c>
      <c r="I487" s="6">
        <v>14.587</v>
      </c>
      <c r="J487" s="4">
        <v>0</v>
      </c>
      <c r="K487" s="7">
        <v>1.2089</v>
      </c>
      <c r="L487" s="3">
        <v>9.69</v>
      </c>
      <c r="M487" s="3">
        <v>6.55</v>
      </c>
    </row>
    <row r="488" spans="1:13">
      <c r="A488" s="8" t="s">
        <v>499</v>
      </c>
      <c r="B488" s="2">
        <f>HYPERLINK("https://www.suredividend.com/sure-analysis-research-database/","CoreCivic, Inc.")</f>
        <v>0</v>
      </c>
      <c r="C488" s="1" t="s">
        <v>1961</v>
      </c>
      <c r="D488" s="3">
        <v>19.85</v>
      </c>
      <c r="F488" s="4">
        <v>0</v>
      </c>
      <c r="G488" s="3">
        <v>0</v>
      </c>
      <c r="H488" s="5">
        <v>2077.051248</v>
      </c>
      <c r="I488" s="6">
        <v>19.0137</v>
      </c>
      <c r="J488" s="4">
        <v>0.000412</v>
      </c>
      <c r="L488" s="3">
        <v>23.85</v>
      </c>
      <c r="M488" s="3">
        <v>15.95</v>
      </c>
    </row>
    <row r="489" spans="1:13">
      <c r="A489" s="8" t="s">
        <v>500</v>
      </c>
      <c r="B489" s="2">
        <f>HYPERLINK("https://www.suredividend.com/sure-analysis-research-database/","COMMUNITY HEALTH SYSTEMS INC")</f>
        <v>0</v>
      </c>
      <c r="C489" s="1" t="s">
        <v>1965</v>
      </c>
      <c r="D489" s="3">
        <v>3.26</v>
      </c>
      <c r="G489" s="3">
        <v>0</v>
      </c>
      <c r="H489" s="5">
        <v>452.959141</v>
      </c>
      <c r="I489" s="6">
        <v>1.381</v>
      </c>
      <c r="J489" s="4">
        <v>0.319018</v>
      </c>
      <c r="L489" s="3">
        <v>4.47</v>
      </c>
      <c r="M489" s="3">
        <v>2.24</v>
      </c>
    </row>
    <row r="490" spans="1:13">
      <c r="A490" s="8" t="s">
        <v>501</v>
      </c>
      <c r="B490" s="2">
        <f>HYPERLINK("https://www.suredividend.com/sure-analysis-research-database/","Cryoport, Inc.")</f>
        <v>0</v>
      </c>
      <c r="C490" s="1" t="s">
        <v>1964</v>
      </c>
      <c r="D490" s="3">
        <v>11.05</v>
      </c>
      <c r="G490" s="3">
        <v>0</v>
      </c>
      <c r="H490" s="5">
        <v>549.756566</v>
      </c>
      <c r="I490" s="6">
        <v>9.227399999999999</v>
      </c>
      <c r="J490" s="4">
        <v>0</v>
      </c>
      <c r="L490" s="3">
        <v>11.44</v>
      </c>
      <c r="M490" s="3">
        <v>4.58</v>
      </c>
    </row>
    <row r="491" spans="1:13">
      <c r="A491" s="8" t="s">
        <v>502</v>
      </c>
      <c r="B491" s="2">
        <f>HYPERLINK("https://www.suredividend.com/sure-analysis-research-database/","CYTOKINETICS INC")</f>
        <v>0</v>
      </c>
      <c r="C491" s="1" t="s">
        <v>1965</v>
      </c>
      <c r="D491" s="3">
        <v>63.1</v>
      </c>
      <c r="G491" s="3">
        <v>0</v>
      </c>
      <c r="H491" s="5">
        <v>7707.581124</v>
      </c>
      <c r="J491" s="4">
        <v>0</v>
      </c>
      <c r="L491" s="3">
        <v>70.98</v>
      </c>
      <c r="M491" s="3">
        <v>29.31</v>
      </c>
    </row>
    <row r="492" spans="1:13">
      <c r="A492" s="8" t="s">
        <v>503</v>
      </c>
      <c r="B492" s="2">
        <f>HYPERLINK("https://www.suredividend.com/sure-analysis-research-database/","CITIZENS FINANCIAL SERVICES INC")</f>
        <v>0</v>
      </c>
      <c r="C492" s="1" t="s">
        <v>1962</v>
      </c>
      <c r="D492" s="3">
        <v>67.42</v>
      </c>
      <c r="E492" s="4">
        <v>0.03</v>
      </c>
      <c r="F492" s="4">
        <v>0.02545</v>
      </c>
      <c r="G492" s="3">
        <v>0</v>
      </c>
      <c r="H492" s="5">
        <v>323.291867</v>
      </c>
      <c r="I492" s="6">
        <v>9.4885</v>
      </c>
      <c r="J492" s="4">
        <v>0.278176</v>
      </c>
    </row>
    <row r="493" spans="1:13">
      <c r="A493" s="8" t="s">
        <v>504</v>
      </c>
      <c r="B493" s="2">
        <f>HYPERLINK("https://www.suredividend.com/sure-analysis-research-database/","CITIZENS &amp; NORTHERN CORP")</f>
        <v>0</v>
      </c>
      <c r="C493" s="1" t="s">
        <v>1962</v>
      </c>
      <c r="D493" s="3">
        <v>22.27</v>
      </c>
      <c r="E493" s="4">
        <v>0.05</v>
      </c>
      <c r="F493" s="4">
        <v>0.05584</v>
      </c>
      <c r="G493" s="3">
        <v>0</v>
      </c>
      <c r="H493" s="5">
        <v>396.62573</v>
      </c>
      <c r="I493" s="6">
        <v>14.6168</v>
      </c>
      <c r="J493" s="4">
        <v>0.576377</v>
      </c>
    </row>
    <row r="494" spans="1:13">
      <c r="A494" s="8" t="s">
        <v>505</v>
      </c>
      <c r="B494" s="2">
        <f>HYPERLINK("https://www.suredividend.com/sure-analysis-research-database/","DAKTRONICS INC /SD/")</f>
        <v>0</v>
      </c>
      <c r="C494" s="1" t="s">
        <v>1960</v>
      </c>
      <c r="D494" s="3">
        <v>22.1</v>
      </c>
      <c r="G494" s="3">
        <v>0</v>
      </c>
      <c r="H494" s="5">
        <v>1072.939452</v>
      </c>
      <c r="J494" s="4">
        <v>0</v>
      </c>
      <c r="L494" s="3">
        <v>24.38</v>
      </c>
      <c r="M494" s="3">
        <v>10.24</v>
      </c>
    </row>
    <row r="495" spans="1:13">
      <c r="A495" s="8" t="s">
        <v>506</v>
      </c>
      <c r="B495" s="2">
        <f>HYPERLINK("https://www.suredividend.com/sure-analysis-research-database/","DANA INC")</f>
        <v>0</v>
      </c>
      <c r="C495" s="1" t="s">
        <v>1963</v>
      </c>
      <c r="D495" s="3">
        <v>30.21</v>
      </c>
      <c r="E495" s="4">
        <v>0.01</v>
      </c>
      <c r="F495" s="4">
        <v>0.01628</v>
      </c>
      <c r="G495" s="3">
        <v>0</v>
      </c>
      <c r="H495" s="5">
        <v>3529.656827</v>
      </c>
      <c r="I495" s="6">
        <v>64.1756</v>
      </c>
      <c r="J495" s="4">
        <v>1.027778</v>
      </c>
      <c r="L495" s="3">
        <v>28.24</v>
      </c>
      <c r="M495" s="3">
        <v>9.94</v>
      </c>
    </row>
    <row r="496" spans="1:13">
      <c r="A496" s="8" t="s">
        <v>507</v>
      </c>
      <c r="B496" s="2">
        <f>HYPERLINK("https://www.suredividend.com/sure-analysis-research-database/","Dave Inc./DE")</f>
        <v>0</v>
      </c>
      <c r="C496" s="1" t="s">
        <v>1959</v>
      </c>
      <c r="D496" s="3">
        <v>189.75</v>
      </c>
      <c r="F496" s="4">
        <v>0</v>
      </c>
      <c r="G496" s="3">
        <v>0</v>
      </c>
      <c r="H496" s="5">
        <v>2511.759252</v>
      </c>
      <c r="I496" s="6">
        <v>17.1182</v>
      </c>
      <c r="J496" s="4">
        <v>0</v>
      </c>
      <c r="K496" s="7">
        <v>2.1239</v>
      </c>
      <c r="L496" s="3">
        <v>286.45</v>
      </c>
      <c r="M496" s="3">
        <v>65.45999999999999</v>
      </c>
    </row>
    <row r="497" spans="1:13">
      <c r="A497" s="8" t="s">
        <v>508</v>
      </c>
      <c r="B497" s="2">
        <f>HYPERLINK("https://www.suredividend.com/sure-analysis-research-database/","Day One Biopharmaceuticals, Inc.")</f>
        <v>0</v>
      </c>
      <c r="C497" s="1" t="s">
        <v>1959</v>
      </c>
      <c r="D497" s="3">
        <v>12.2</v>
      </c>
      <c r="F497" s="4">
        <v>0</v>
      </c>
      <c r="G497" s="3">
        <v>0</v>
      </c>
      <c r="H497" s="5">
        <v>1239.293309</v>
      </c>
      <c r="J497" s="4">
        <v>0</v>
      </c>
      <c r="K497" s="7">
        <v>1.1932</v>
      </c>
      <c r="L497" s="3">
        <v>13.53</v>
      </c>
      <c r="M497" s="3">
        <v>5.64</v>
      </c>
    </row>
    <row r="498" spans="1:13">
      <c r="A498" s="8" t="s">
        <v>509</v>
      </c>
      <c r="B498" s="2">
        <f>HYPERLINK("https://www.suredividend.com/sure-analysis-research-database/","DIEBOLD NIXDORF, Inc")</f>
        <v>0</v>
      </c>
      <c r="C498" s="1" t="s">
        <v>1960</v>
      </c>
      <c r="D498" s="3">
        <v>69.73</v>
      </c>
      <c r="F498" s="4">
        <v>0</v>
      </c>
      <c r="G498" s="3">
        <v>0</v>
      </c>
      <c r="H498" s="5">
        <v>2503.168817</v>
      </c>
      <c r="I498" s="6">
        <v>49.4697</v>
      </c>
      <c r="J498" s="4">
        <v>0.227017</v>
      </c>
      <c r="K498" s="7">
        <v>0.9486</v>
      </c>
      <c r="L498" s="3">
        <v>72.3</v>
      </c>
      <c r="M498" s="3">
        <v>34.88</v>
      </c>
    </row>
    <row r="499" spans="1:13">
      <c r="A499" s="8" t="s">
        <v>510</v>
      </c>
      <c r="B499" s="2">
        <f>HYPERLINK("https://www.suredividend.com/sure-analysis-research-database/","Designer Brands Inc.")</f>
        <v>0</v>
      </c>
      <c r="C499" s="1" t="s">
        <v>1963</v>
      </c>
      <c r="D499" s="3">
        <v>7.745</v>
      </c>
      <c r="E499" s="4">
        <v>0.03</v>
      </c>
      <c r="F499" s="4">
        <v>0.02204</v>
      </c>
      <c r="G499" s="3">
        <v>0.2</v>
      </c>
      <c r="H499" s="5">
        <v>384.183352</v>
      </c>
      <c r="K499" s="7">
        <v>1.7031</v>
      </c>
      <c r="L499" s="3">
        <v>8.75</v>
      </c>
      <c r="M499" s="3">
        <v>2.12</v>
      </c>
    </row>
    <row r="500" spans="1:13">
      <c r="A500" s="8" t="s">
        <v>511</v>
      </c>
      <c r="B500" s="2">
        <f>HYPERLINK("https://www.suredividend.com/sure-analysis-research-database/","DigitalBridge Group, Inc.")</f>
        <v>0</v>
      </c>
      <c r="C500" s="1" t="s">
        <v>1959</v>
      </c>
      <c r="D500" s="3">
        <v>15.3</v>
      </c>
      <c r="F500" s="4">
        <v>0.00182</v>
      </c>
      <c r="G500" s="3">
        <v>0.04</v>
      </c>
      <c r="H500" s="5">
        <v>2802.22568</v>
      </c>
      <c r="I500" s="6">
        <v>213.4866</v>
      </c>
      <c r="K500" s="7">
        <v>1.9338</v>
      </c>
      <c r="L500" s="3">
        <v>15.54</v>
      </c>
      <c r="M500" s="3">
        <v>6.39</v>
      </c>
    </row>
    <row r="501" spans="1:13">
      <c r="A501" s="8" t="s">
        <v>512</v>
      </c>
      <c r="B501" s="2">
        <f>HYPERLINK("https://www.suredividend.com/sure-analysis-research-database/","Dakota Gold Corp.")</f>
        <v>0</v>
      </c>
      <c r="C501" s="1" t="s">
        <v>1959</v>
      </c>
      <c r="D501" s="3">
        <v>6.37</v>
      </c>
      <c r="F501" s="4">
        <v>0</v>
      </c>
      <c r="G501" s="3">
        <v>0</v>
      </c>
      <c r="H501" s="5">
        <v>460.291199</v>
      </c>
      <c r="J501" s="4">
        <v>0</v>
      </c>
      <c r="K501" s="7">
        <v>0.701</v>
      </c>
      <c r="L501" s="3">
        <v>6.5</v>
      </c>
      <c r="M501" s="3">
        <v>2.21</v>
      </c>
    </row>
    <row r="502" spans="1:13">
      <c r="A502" s="8" t="s">
        <v>513</v>
      </c>
      <c r="B502" s="2">
        <f>HYPERLINK("https://www.suredividend.com/sure-analysis-research-database/","DocGo Inc.")</f>
        <v>0</v>
      </c>
      <c r="C502" s="1" t="s">
        <v>1959</v>
      </c>
      <c r="D502" s="3">
        <v>0.8522</v>
      </c>
      <c r="F502" s="4">
        <v>0</v>
      </c>
      <c r="G502" s="3">
        <v>0</v>
      </c>
      <c r="H502" s="5">
        <v>83.307649</v>
      </c>
      <c r="K502" s="7">
        <v>1.0135</v>
      </c>
      <c r="L502" s="3">
        <v>5.68</v>
      </c>
      <c r="M502" s="3">
        <v>0.8100000000000001</v>
      </c>
    </row>
    <row r="503" spans="1:13">
      <c r="A503" s="8" t="s">
        <v>514</v>
      </c>
      <c r="B503" s="2">
        <f>HYPERLINK("https://www.suredividend.com/sure-analysis-research-database/","DUCOMMUN INC /DE/")</f>
        <v>0</v>
      </c>
      <c r="C503" s="1" t="s">
        <v>1964</v>
      </c>
      <c r="D503" s="3">
        <v>115.06</v>
      </c>
      <c r="F503" s="4">
        <v>0</v>
      </c>
      <c r="G503" s="3">
        <v>0.3</v>
      </c>
      <c r="H503" s="5">
        <v>1722.233572</v>
      </c>
      <c r="J503" s="4">
        <v>0</v>
      </c>
      <c r="K503" s="7">
        <v>0.7728</v>
      </c>
      <c r="L503" s="3">
        <v>115.34</v>
      </c>
      <c r="M503" s="3">
        <v>51.76</v>
      </c>
    </row>
    <row r="504" spans="1:13">
      <c r="A504" s="8" t="s">
        <v>515</v>
      </c>
      <c r="B504" s="2">
        <f>HYPERLINK("https://www.suredividend.com/sure-analysis-research-database/","Dime Community Bancshares, Inc. /NY/")</f>
        <v>0</v>
      </c>
      <c r="C504" s="1" t="s">
        <v>1962</v>
      </c>
      <c r="D504" s="3">
        <v>32.705</v>
      </c>
      <c r="E504" s="4">
        <v>0.03</v>
      </c>
      <c r="F504" s="4">
        <v>0.03338</v>
      </c>
      <c r="G504" s="3">
        <v>1</v>
      </c>
      <c r="H504" s="5">
        <v>1436.222968</v>
      </c>
      <c r="I504" s="6">
        <v>28.0913</v>
      </c>
      <c r="J504" s="4">
        <v>0.8387520000000001</v>
      </c>
      <c r="K504" s="7">
        <v>0.9469</v>
      </c>
      <c r="L504" s="3">
        <v>32.81</v>
      </c>
      <c r="M504" s="3">
        <v>22.43</v>
      </c>
    </row>
    <row r="505" spans="1:13">
      <c r="A505" s="8" t="s">
        <v>516</v>
      </c>
      <c r="B505" s="2">
        <f>HYPERLINK("https://www.suredividend.com/sure-analysis-research-database/","3D SYSTEMS CORP")</f>
        <v>0</v>
      </c>
      <c r="C505" s="1" t="s">
        <v>1960</v>
      </c>
      <c r="D505" s="3">
        <v>2.69</v>
      </c>
      <c r="F505" s="4">
        <v>0</v>
      </c>
      <c r="G505" s="3">
        <v>0</v>
      </c>
      <c r="H505" s="5">
        <v>337.293597</v>
      </c>
      <c r="I505" s="6">
        <v>21.4974</v>
      </c>
      <c r="J505" s="4">
        <v>0</v>
      </c>
      <c r="K505" s="7">
        <v>2.1159</v>
      </c>
      <c r="L505" s="3">
        <v>5</v>
      </c>
      <c r="M505" s="3">
        <v>1.32</v>
      </c>
    </row>
    <row r="506" spans="1:13">
      <c r="A506" s="8" t="s">
        <v>517</v>
      </c>
      <c r="B506" s="2">
        <f>HYPERLINK("https://www.suredividend.com/sure-analysis-research-database/","Easterly Government Properties, Inc.")</f>
        <v>0</v>
      </c>
      <c r="C506" s="1" t="s">
        <v>1961</v>
      </c>
      <c r="D506" s="3">
        <v>23.39</v>
      </c>
      <c r="E506" s="4">
        <v>0.11</v>
      </c>
      <c r="F506" s="4">
        <v>0.1224</v>
      </c>
      <c r="G506" s="3">
        <v>2.68</v>
      </c>
      <c r="H506" s="5">
        <v>1078.013901</v>
      </c>
      <c r="I506" s="6">
        <v>77.7563</v>
      </c>
      <c r="J506" s="4">
        <v>7.056294</v>
      </c>
      <c r="K506" s="7">
        <v>0.5818</v>
      </c>
      <c r="L506" s="3">
        <v>27.27</v>
      </c>
      <c r="M506" s="3">
        <v>18.15</v>
      </c>
    </row>
    <row r="507" spans="1:13">
      <c r="A507" s="8" t="s">
        <v>518</v>
      </c>
      <c r="B507" s="2">
        <f>HYPERLINK("https://www.suredividend.com/sure-analysis-research-database/","Diversified Energy Co PLC")</f>
        <v>0</v>
      </c>
      <c r="C507" s="1" t="s">
        <v>1959</v>
      </c>
      <c r="D507" s="3">
        <v>13.06</v>
      </c>
      <c r="E507" s="4">
        <v>0.02</v>
      </c>
      <c r="F507" s="4">
        <v>0.0041</v>
      </c>
      <c r="G507" s="3">
        <v>0.29</v>
      </c>
      <c r="H507" s="5">
        <v>0</v>
      </c>
      <c r="L507" s="3">
        <v>16.13</v>
      </c>
      <c r="M507" s="3">
        <v>12.35</v>
      </c>
    </row>
    <row r="508" spans="1:13">
      <c r="A508" s="8" t="s">
        <v>519</v>
      </c>
      <c r="B508" s="2">
        <f>HYPERLINK("https://www.suredividend.com/sure-analysis-research-database/","Douglas Emmett Inc")</f>
        <v>0</v>
      </c>
      <c r="C508" s="1" t="s">
        <v>1961</v>
      </c>
      <c r="D508" s="3">
        <v>11.19</v>
      </c>
      <c r="E508" s="4">
        <v>0.07000000000000001</v>
      </c>
      <c r="F508" s="4">
        <v>0.07678</v>
      </c>
      <c r="G508" s="3">
        <v>0.76</v>
      </c>
      <c r="H508" s="5">
        <v>1820.312581</v>
      </c>
      <c r="I508" s="6">
        <v>81.91119999999999</v>
      </c>
      <c r="J508" s="4">
        <v>192.433705</v>
      </c>
      <c r="L508" s="3">
        <v>17.63</v>
      </c>
      <c r="M508" s="3">
        <v>10.71</v>
      </c>
    </row>
    <row r="509" spans="1:13">
      <c r="A509" s="8" t="s">
        <v>520</v>
      </c>
      <c r="B509" s="2">
        <f>HYPERLINK("https://www.suredividend.com/sure-analysis-research-database/","DENNY'S Corp")</f>
        <v>0</v>
      </c>
      <c r="C509" s="1" t="s">
        <v>1963</v>
      </c>
      <c r="D509" s="3">
        <v>6.24</v>
      </c>
      <c r="G509" s="3">
        <v>0</v>
      </c>
      <c r="H509" s="5">
        <v>321.868713</v>
      </c>
      <c r="I509" s="6">
        <v>31.4817</v>
      </c>
      <c r="J509" s="4">
        <v>0</v>
      </c>
    </row>
    <row r="510" spans="1:13">
      <c r="A510" s="8" t="s">
        <v>521</v>
      </c>
      <c r="B510" s="2">
        <f>HYPERLINK("https://www.suredividend.com/sure-analysis-research-database/","Despegar.com, Corp.")</f>
        <v>0</v>
      </c>
      <c r="C510" s="1" t="s">
        <v>1963</v>
      </c>
      <c r="D510" s="3">
        <v>0</v>
      </c>
      <c r="G510" s="3">
        <v>0</v>
      </c>
      <c r="H510" s="5">
        <v>1629.659558</v>
      </c>
      <c r="I510" s="6">
        <v>58.4003</v>
      </c>
      <c r="J510" s="4">
        <v>0.839885</v>
      </c>
    </row>
    <row r="511" spans="1:13">
      <c r="A511" s="8" t="s">
        <v>522</v>
      </c>
      <c r="B511" s="2">
        <f>HYPERLINK("https://www.suredividend.com/sure-analysis-research-database/","Dream Finders Homes, Inc.")</f>
        <v>0</v>
      </c>
      <c r="C511" s="1" t="s">
        <v>1959</v>
      </c>
      <c r="D511" s="3">
        <v>19.765</v>
      </c>
      <c r="G511" s="3">
        <v>0</v>
      </c>
      <c r="H511" s="5">
        <v>1834.688322</v>
      </c>
      <c r="I511" s="6">
        <v>6.3764</v>
      </c>
      <c r="J511" s="4">
        <v>0.062962</v>
      </c>
      <c r="L511" s="3">
        <v>31.5</v>
      </c>
      <c r="M511" s="3">
        <v>16.59</v>
      </c>
    </row>
    <row r="512" spans="1:13">
      <c r="A512" s="8" t="s">
        <v>523</v>
      </c>
      <c r="B512" s="2">
        <f>HYPERLINK("https://www.suredividend.com/sure-analysis-research-database/","Donnelley Financial Solutions, Inc.")</f>
        <v>0</v>
      </c>
      <c r="C512" s="1" t="s">
        <v>1962</v>
      </c>
      <c r="D512" s="3">
        <v>54.66</v>
      </c>
      <c r="G512" s="3">
        <v>0</v>
      </c>
      <c r="H512" s="5">
        <v>1450.782328</v>
      </c>
      <c r="I512" s="6">
        <v>44.6395</v>
      </c>
      <c r="J512" s="4">
        <v>0</v>
      </c>
      <c r="L512" s="3">
        <v>69.93000000000001</v>
      </c>
      <c r="M512" s="3">
        <v>37.8</v>
      </c>
    </row>
    <row r="513" spans="1:13">
      <c r="A513" s="8" t="s">
        <v>524</v>
      </c>
      <c r="B513" s="2">
        <f>HYPERLINK("https://www.suredividend.com/sure-analysis-DGICA/","DONEGAL GROUP INC")</f>
        <v>0</v>
      </c>
      <c r="C513" s="1" t="s">
        <v>1962</v>
      </c>
      <c r="D513" s="3">
        <v>18.565</v>
      </c>
      <c r="E513" s="4">
        <v>0.03932130352814436</v>
      </c>
      <c r="F513" s="4">
        <v>0.03431</v>
      </c>
      <c r="G513" s="3">
        <v>0</v>
      </c>
      <c r="J513" s="4">
        <v>0.288534</v>
      </c>
      <c r="L513" s="3">
        <v>21.06</v>
      </c>
      <c r="M513" s="3">
        <v>13.7</v>
      </c>
    </row>
    <row r="514" spans="1:13">
      <c r="A514" s="8" t="s">
        <v>525</v>
      </c>
      <c r="B514" s="2">
        <f>HYPERLINK("https://www.suredividend.com/sure-analysis-research-database/","DIGI INTERNATIONAL INC")</f>
        <v>0</v>
      </c>
      <c r="C514" s="1" t="s">
        <v>1960</v>
      </c>
      <c r="D514" s="3">
        <v>43.1</v>
      </c>
      <c r="G514" s="3">
        <v>0</v>
      </c>
      <c r="H514" s="5">
        <v>1608.075692</v>
      </c>
      <c r="I514" s="6">
        <v>39.4098</v>
      </c>
      <c r="J514" s="4">
        <v>0</v>
      </c>
      <c r="L514" s="3">
        <v>48</v>
      </c>
      <c r="M514" s="3">
        <v>22.39</v>
      </c>
    </row>
    <row r="515" spans="1:13">
      <c r="A515" s="8" t="s">
        <v>526</v>
      </c>
      <c r="B515" s="2">
        <f>HYPERLINK("https://www.suredividend.com/sure-analysis-research-database/","Definitive Healthcare Corp.")</f>
        <v>0</v>
      </c>
      <c r="C515" s="1" t="s">
        <v>1959</v>
      </c>
      <c r="D515" s="3">
        <v>2.37</v>
      </c>
      <c r="G515" s="3">
        <v>0</v>
      </c>
      <c r="H515" s="5">
        <v>245.862061</v>
      </c>
      <c r="L515" s="3">
        <v>5.68</v>
      </c>
      <c r="M515" s="3">
        <v>2.15</v>
      </c>
    </row>
    <row r="516" spans="1:13">
      <c r="A516" s="8" t="s">
        <v>527</v>
      </c>
      <c r="B516" s="2">
        <f>HYPERLINK("https://www.suredividend.com/sure-analysis-research-database/","DIVERSIFIED HEALTHCARE TRUST")</f>
        <v>0</v>
      </c>
      <c r="C516" s="1" t="s">
        <v>1961</v>
      </c>
      <c r="D516" s="3">
        <v>6.08</v>
      </c>
      <c r="E516" s="4">
        <v>0.01</v>
      </c>
      <c r="F516" s="4">
        <v>0.00763</v>
      </c>
      <c r="G516" s="3">
        <v>0.04</v>
      </c>
      <c r="H516" s="5">
        <v>1455.303242</v>
      </c>
      <c r="K516" s="7">
        <v>0.8541</v>
      </c>
      <c r="L516" s="3">
        <v>6.04</v>
      </c>
      <c r="M516" s="3">
        <v>1.98</v>
      </c>
    </row>
    <row r="517" spans="1:13">
      <c r="A517" s="8" t="s">
        <v>528</v>
      </c>
      <c r="B517" s="2">
        <f>HYPERLINK("https://www.suredividend.com/sure-analysis-research-database/","DIAMOND HILL INVESTMENT GROUP INC")</f>
        <v>0</v>
      </c>
      <c r="C517" s="1" t="s">
        <v>1962</v>
      </c>
      <c r="D517" s="3">
        <v>170.56</v>
      </c>
      <c r="E517" s="4">
        <v>0.06</v>
      </c>
      <c r="F517" s="4">
        <v>0.05872</v>
      </c>
      <c r="G517" s="3">
        <v>10</v>
      </c>
      <c r="H517" s="5">
        <v>461.631709</v>
      </c>
      <c r="I517" s="6">
        <v>9.8482</v>
      </c>
      <c r="J517" s="4">
        <v>0.344591</v>
      </c>
      <c r="K517" s="7">
        <v>0.6078</v>
      </c>
      <c r="L517" s="3">
        <v>171.43</v>
      </c>
      <c r="M517" s="3">
        <v>114.11</v>
      </c>
    </row>
    <row r="518" spans="1:13">
      <c r="A518" s="8" t="s">
        <v>529</v>
      </c>
      <c r="B518" s="2">
        <f>HYPERLINK("https://www.suredividend.com/sure-analysis-research-database/","DHT Holdings, Inc.")</f>
        <v>0</v>
      </c>
      <c r="C518" s="1" t="s">
        <v>1969</v>
      </c>
      <c r="D518" s="3">
        <v>13.4</v>
      </c>
      <c r="E518" s="4">
        <v>0.07000000000000001</v>
      </c>
      <c r="F518" s="4">
        <v>0.0479</v>
      </c>
      <c r="G518" s="3">
        <v>0.96</v>
      </c>
      <c r="H518" s="5">
        <v>2143.773594</v>
      </c>
      <c r="I518" s="6">
        <v>5.907</v>
      </c>
      <c r="J518" s="4">
        <v>0</v>
      </c>
      <c r="K518" s="7">
        <v>0.2862</v>
      </c>
      <c r="L518" s="3">
        <v>13.9</v>
      </c>
      <c r="M518" s="3">
        <v>8.57</v>
      </c>
    </row>
    <row r="519" spans="1:13">
      <c r="A519" s="8" t="s">
        <v>530</v>
      </c>
      <c r="B519" s="2">
        <f>HYPERLINK("https://www.suredividend.com/sure-analysis-research-database/","1stdibs.com, Inc.")</f>
        <v>0</v>
      </c>
      <c r="C519" s="1" t="s">
        <v>1959</v>
      </c>
      <c r="D519" s="3">
        <v>5.8</v>
      </c>
      <c r="F519" s="4">
        <v>0</v>
      </c>
      <c r="G519" s="3">
        <v>0</v>
      </c>
      <c r="H519" s="5">
        <v>212.363218</v>
      </c>
      <c r="J519" s="4">
        <v>0</v>
      </c>
      <c r="K519" s="7">
        <v>0.6687</v>
      </c>
      <c r="L519" s="3">
        <v>6.62</v>
      </c>
      <c r="M519" s="3">
        <v>2.3</v>
      </c>
    </row>
    <row r="520" spans="1:13">
      <c r="A520" s="8" t="s">
        <v>531</v>
      </c>
      <c r="B520" s="2">
        <f>HYPERLINK("https://www.suredividend.com/sure-analysis-research-database/","Dine Brands Global, Inc.")</f>
        <v>0</v>
      </c>
      <c r="C520" s="1" t="s">
        <v>1963</v>
      </c>
      <c r="D520" s="3">
        <v>36.645</v>
      </c>
      <c r="E520" s="4">
        <v>0.05</v>
      </c>
      <c r="F520" s="4">
        <v>0.04545</v>
      </c>
      <c r="G520" s="3">
        <v>1.72</v>
      </c>
      <c r="H520" s="5">
        <v>528.917042</v>
      </c>
      <c r="I520" s="6">
        <v>28.9976</v>
      </c>
      <c r="K520" s="7">
        <v>0.7391</v>
      </c>
      <c r="L520" s="3">
        <v>39.68</v>
      </c>
      <c r="M520" s="3">
        <v>17.79</v>
      </c>
    </row>
    <row r="521" spans="1:13">
      <c r="A521" s="8" t="s">
        <v>532</v>
      </c>
      <c r="B521" s="2">
        <f>HYPERLINK("https://www.suredividend.com/sure-analysis-research-database/","DIODES INC /DEL/")</f>
        <v>0</v>
      </c>
      <c r="C521" s="1" t="s">
        <v>1960</v>
      </c>
      <c r="D521" s="3">
        <v>59.06</v>
      </c>
      <c r="F521" s="4">
        <v>0</v>
      </c>
      <c r="G521" s="3">
        <v>0</v>
      </c>
      <c r="H521" s="5">
        <v>2738.589942</v>
      </c>
      <c r="I521" s="6">
        <v>42.6705</v>
      </c>
      <c r="J521" s="4">
        <v>0</v>
      </c>
      <c r="K521" s="7">
        <v>1.6168</v>
      </c>
      <c r="L521" s="3">
        <v>64.59999999999999</v>
      </c>
      <c r="M521" s="3">
        <v>32.93</v>
      </c>
    </row>
    <row r="522" spans="1:13">
      <c r="A522" s="8" t="s">
        <v>533</v>
      </c>
      <c r="B522" s="2">
        <f>HYPERLINK("https://www.suredividend.com/sure-analysis-research-database/","DAILY JOURNAL CORP")</f>
        <v>0</v>
      </c>
      <c r="C522" s="1" t="s">
        <v>1968</v>
      </c>
      <c r="D522" s="3">
        <v>655.99</v>
      </c>
      <c r="F522" s="4">
        <v>0</v>
      </c>
      <c r="G522" s="3">
        <v>0</v>
      </c>
      <c r="H522" s="5">
        <v>895.464191</v>
      </c>
      <c r="I522" s="6">
        <v>7.9854</v>
      </c>
      <c r="J522" s="4">
        <v>0</v>
      </c>
      <c r="K522" s="7">
        <v>0.7339</v>
      </c>
      <c r="L522" s="3">
        <v>660</v>
      </c>
      <c r="M522" s="3">
        <v>348.63</v>
      </c>
    </row>
    <row r="523" spans="1:13">
      <c r="A523" s="8" t="s">
        <v>534</v>
      </c>
      <c r="B523" s="2">
        <f>HYPERLINK("https://www.suredividend.com/sure-analysis-research-database/","Delek US Holdings, Inc.")</f>
        <v>0</v>
      </c>
      <c r="C523" s="1" t="s">
        <v>1969</v>
      </c>
      <c r="D523" s="3">
        <v>28.22</v>
      </c>
      <c r="E523" s="4">
        <v>0.04</v>
      </c>
      <c r="F523" s="4">
        <v>0.02435</v>
      </c>
      <c r="G523" s="3">
        <v>1.02</v>
      </c>
      <c r="H523" s="5">
        <v>1694.05431</v>
      </c>
      <c r="K523" s="7">
        <v>1.0295</v>
      </c>
      <c r="L523" s="3">
        <v>43.23</v>
      </c>
      <c r="M523" s="3">
        <v>10.64</v>
      </c>
    </row>
    <row r="524" spans="1:13">
      <c r="A524" s="8" t="s">
        <v>535</v>
      </c>
      <c r="B524" s="2">
        <f>HYPERLINK("https://www.suredividend.com/sure-analysis-research-database/","DLH Holdings Corp.")</f>
        <v>0</v>
      </c>
      <c r="C524" s="1" t="s">
        <v>1964</v>
      </c>
      <c r="D524" s="3">
        <v>5.65</v>
      </c>
      <c r="F524" s="4">
        <v>0</v>
      </c>
      <c r="G524" s="3">
        <v>0</v>
      </c>
      <c r="H524" s="5">
        <v>81.595787</v>
      </c>
      <c r="I524" s="6">
        <v>59.9088</v>
      </c>
      <c r="J524" s="4">
        <v>0</v>
      </c>
      <c r="K524" s="7">
        <v>1.1929</v>
      </c>
      <c r="L524" s="3">
        <v>8.25</v>
      </c>
      <c r="M524" s="3">
        <v>2.72</v>
      </c>
    </row>
    <row r="525" spans="1:13">
      <c r="A525" s="8" t="s">
        <v>536</v>
      </c>
      <c r="B525" s="2">
        <f>HYPERLINK("https://www.suredividend.com/sure-analysis-research-database/","DELUXE CORP")</f>
        <v>0</v>
      </c>
      <c r="C525" s="1" t="s">
        <v>1968</v>
      </c>
      <c r="D525" s="3">
        <v>24.5</v>
      </c>
      <c r="E525" s="4">
        <v>0.05</v>
      </c>
      <c r="F525" s="4">
        <v>0.0541</v>
      </c>
      <c r="G525" s="3">
        <v>1.2</v>
      </c>
      <c r="H525" s="5">
        <v>1102.687768</v>
      </c>
      <c r="I525" s="6">
        <v>13.3278</v>
      </c>
      <c r="J525" s="4">
        <v>0.663124</v>
      </c>
      <c r="K525" s="7">
        <v>1.1829</v>
      </c>
      <c r="L525" s="3">
        <v>24.48</v>
      </c>
      <c r="M525" s="3">
        <v>13.04</v>
      </c>
    </row>
    <row r="526" spans="1:13">
      <c r="A526" s="8" t="s">
        <v>537</v>
      </c>
      <c r="B526" s="2">
        <f>HYPERLINK("https://www.suredividend.com/sure-analysis-research-database/","Digimarc CORP")</f>
        <v>0</v>
      </c>
      <c r="C526" s="1" t="s">
        <v>1960</v>
      </c>
      <c r="D526" s="3">
        <v>5.8</v>
      </c>
      <c r="F526" s="4">
        <v>0</v>
      </c>
      <c r="G526" s="3">
        <v>0.55</v>
      </c>
      <c r="H526" s="5">
        <v>125.972955</v>
      </c>
      <c r="J526" s="4">
        <v>0</v>
      </c>
      <c r="K526" s="7">
        <v>1.7227</v>
      </c>
      <c r="L526" s="3">
        <v>42.24</v>
      </c>
      <c r="M526" s="3">
        <v>5.75</v>
      </c>
    </row>
    <row r="527" spans="1:13">
      <c r="A527" s="8" t="s">
        <v>538</v>
      </c>
      <c r="B527" s="2">
        <f>HYPERLINK("https://www.suredividend.com/sure-analysis-research-database/","Denali Therapeutics Inc.")</f>
        <v>0</v>
      </c>
      <c r="C527" s="1" t="s">
        <v>1965</v>
      </c>
      <c r="D527" s="3">
        <v>17.66</v>
      </c>
      <c r="F527" s="4">
        <v>0</v>
      </c>
      <c r="G527" s="3">
        <v>0</v>
      </c>
      <c r="H527" s="5">
        <v>2727.910094</v>
      </c>
      <c r="J527" s="4">
        <v>0</v>
      </c>
      <c r="K527" s="7">
        <v>2.0608</v>
      </c>
      <c r="L527" s="3">
        <v>24.35</v>
      </c>
      <c r="M527" s="3">
        <v>10.57</v>
      </c>
    </row>
    <row r="528" spans="1:13">
      <c r="A528" s="8" t="s">
        <v>539</v>
      </c>
      <c r="B528" s="2">
        <f>HYPERLINK("https://www.suredividend.com/sure-analysis-research-database/","DNOW Inc.")</f>
        <v>0</v>
      </c>
      <c r="C528" s="1" t="s">
        <v>1969</v>
      </c>
      <c r="D528" s="3">
        <v>14.54</v>
      </c>
      <c r="F528" s="4">
        <v>0</v>
      </c>
      <c r="G528" s="3">
        <v>0</v>
      </c>
      <c r="H528" s="5">
        <v>1513.22243</v>
      </c>
      <c r="I528" s="6">
        <v>15.9287</v>
      </c>
      <c r="J528" s="4">
        <v>0</v>
      </c>
      <c r="K528" s="7">
        <v>1.1792</v>
      </c>
      <c r="L528" s="3">
        <v>18.45</v>
      </c>
      <c r="M528" s="3">
        <v>12.01</v>
      </c>
    </row>
    <row r="529" spans="1:13">
      <c r="A529" s="8" t="s">
        <v>540</v>
      </c>
      <c r="B529" s="2">
        <f>HYPERLINK("https://www.suredividend.com/sure-analysis-research-database/","Dianthus Therapeutics, Inc. /DE/")</f>
        <v>0</v>
      </c>
      <c r="C529" s="1" t="s">
        <v>1959</v>
      </c>
      <c r="D529" s="3">
        <v>48.04</v>
      </c>
      <c r="F529" s="4">
        <v>0</v>
      </c>
      <c r="G529" s="3">
        <v>0</v>
      </c>
      <c r="H529" s="5">
        <v>2059.335</v>
      </c>
      <c r="J529" s="4">
        <v>0</v>
      </c>
      <c r="K529" s="7">
        <v>-0.018</v>
      </c>
      <c r="L529" s="3">
        <v>46.76</v>
      </c>
      <c r="M529" s="3">
        <v>13.37</v>
      </c>
    </row>
    <row r="530" spans="1:13">
      <c r="A530" s="8" t="s">
        <v>541</v>
      </c>
      <c r="B530" s="2">
        <f>HYPERLINK("https://www.suredividend.com/sure-analysis-research-database/","Krispy Kreme, Inc.")</f>
        <v>0</v>
      </c>
      <c r="C530" s="1" t="s">
        <v>1959</v>
      </c>
      <c r="D530" s="3">
        <v>3.51</v>
      </c>
      <c r="E530" s="4">
        <v>0.04</v>
      </c>
      <c r="F530" s="4">
        <v>0.02465</v>
      </c>
      <c r="G530" s="3">
        <v>0</v>
      </c>
      <c r="H530" s="5">
        <v>597.837</v>
      </c>
      <c r="L530" s="3">
        <v>9.48</v>
      </c>
      <c r="M530" s="3">
        <v>2.5</v>
      </c>
    </row>
    <row r="531" spans="1:13">
      <c r="A531" s="8" t="s">
        <v>542</v>
      </c>
      <c r="B531" s="2">
        <f>HYPERLINK("https://www.suredividend.com/sure-analysis-research-database/","DigitalOcean Holdings, Inc.")</f>
        <v>0</v>
      </c>
      <c r="C531" s="1" t="s">
        <v>1959</v>
      </c>
      <c r="D531" s="3">
        <v>51.78</v>
      </c>
      <c r="G531" s="3">
        <v>0</v>
      </c>
      <c r="H531" s="5">
        <v>4641.396364</v>
      </c>
      <c r="I531" s="6">
        <v>18.4279</v>
      </c>
      <c r="J531" s="4">
        <v>0</v>
      </c>
      <c r="L531" s="3">
        <v>57</v>
      </c>
      <c r="M531" s="3">
        <v>25.45</v>
      </c>
    </row>
    <row r="532" spans="1:13">
      <c r="A532" s="8" t="s">
        <v>543</v>
      </c>
      <c r="B532" s="2">
        <f>HYPERLINK("https://www.suredividend.com/sure-analysis-research-database/","Dole plc")</f>
        <v>0</v>
      </c>
      <c r="C532" s="1" t="s">
        <v>1959</v>
      </c>
      <c r="D532" s="3">
        <v>15.1</v>
      </c>
      <c r="E532" s="4">
        <v>0.02</v>
      </c>
      <c r="F532" s="4">
        <v>0.01943</v>
      </c>
      <c r="G532" s="3">
        <v>0</v>
      </c>
      <c r="H532" s="5">
        <v>1436.062212</v>
      </c>
      <c r="I532" s="6">
        <v>11.4415</v>
      </c>
      <c r="J532" s="4">
        <v>0.399208</v>
      </c>
    </row>
    <row r="533" spans="1:13">
      <c r="A533" s="8" t="s">
        <v>544</v>
      </c>
      <c r="B533" s="2">
        <f>HYPERLINK("https://www.suredividend.com/sure-analysis-research-database/","DOMO, INC.")</f>
        <v>0</v>
      </c>
      <c r="C533" s="1" t="s">
        <v>1960</v>
      </c>
      <c r="D533" s="3">
        <v>6.08</v>
      </c>
      <c r="G533" s="3">
        <v>0</v>
      </c>
      <c r="H533" s="5">
        <v>249.86123</v>
      </c>
      <c r="J533" s="4">
        <v>0</v>
      </c>
    </row>
    <row r="534" spans="1:13">
      <c r="A534" s="8" t="s">
        <v>545</v>
      </c>
      <c r="B534" s="2">
        <f>HYPERLINK("https://www.suredividend.com/sure-analysis-research-database/","Dorman Products, Inc.")</f>
        <v>0</v>
      </c>
      <c r="C534" s="1" t="s">
        <v>1963</v>
      </c>
      <c r="D534" s="3">
        <v>128.22</v>
      </c>
      <c r="G534" s="3">
        <v>0</v>
      </c>
      <c r="H534" s="5">
        <v>3913.852191</v>
      </c>
      <c r="I534" s="6">
        <v>15.9428</v>
      </c>
      <c r="J534" s="4">
        <v>0</v>
      </c>
      <c r="L534" s="3">
        <v>166.89</v>
      </c>
      <c r="M534" s="3">
        <v>106.95</v>
      </c>
    </row>
    <row r="535" spans="1:13">
      <c r="A535" s="8" t="s">
        <v>546</v>
      </c>
      <c r="B535" s="2">
        <f>HYPERLINK("https://www.suredividend.com/sure-analysis-research-database/","DiamondRock Hospitality Co")</f>
        <v>0</v>
      </c>
      <c r="C535" s="1" t="s">
        <v>1961</v>
      </c>
      <c r="D535" s="3">
        <v>9.69</v>
      </c>
      <c r="E535" s="4">
        <v>0.04</v>
      </c>
      <c r="F535" s="4">
        <v>0.01866</v>
      </c>
      <c r="G535" s="3">
        <v>0</v>
      </c>
      <c r="H535" s="5">
        <v>1935.180229</v>
      </c>
      <c r="I535" s="6">
        <v>35.7328</v>
      </c>
      <c r="J535" s="4">
        <v>1.524107</v>
      </c>
      <c r="K535" s="7">
        <v>0.9996</v>
      </c>
      <c r="L535" s="3">
        <v>9.49</v>
      </c>
      <c r="M535" s="3">
        <v>5.98</v>
      </c>
    </row>
    <row r="536" spans="1:13">
      <c r="A536" s="8" t="s">
        <v>547</v>
      </c>
      <c r="B536" s="2">
        <f>HYPERLINK("https://www.suredividend.com/sure-analysis-research-database/","Leonardo DRS, Inc.")</f>
        <v>0</v>
      </c>
      <c r="C536" s="1" t="s">
        <v>1959</v>
      </c>
      <c r="D536" s="3">
        <v>41.54</v>
      </c>
      <c r="E536" s="4">
        <v>0.01</v>
      </c>
      <c r="F536" s="4">
        <v>0.00192</v>
      </c>
      <c r="G536" s="3">
        <v>0.36</v>
      </c>
      <c r="H536" s="5">
        <v>11029.468019</v>
      </c>
      <c r="I536" s="6">
        <v>41.6206</v>
      </c>
      <c r="J536" s="4">
        <v>0.271698</v>
      </c>
      <c r="K536" s="7">
        <v>0.9942</v>
      </c>
      <c r="L536" s="3">
        <v>49.07</v>
      </c>
      <c r="M536" s="3">
        <v>27.97</v>
      </c>
    </row>
    <row r="537" spans="1:13">
      <c r="A537" s="8" t="s">
        <v>548</v>
      </c>
      <c r="B537" s="2">
        <f>HYPERLINK("https://www.suredividend.com/sure-analysis-research-database/","Driven Brands Holdings Inc.")</f>
        <v>0</v>
      </c>
      <c r="C537" s="1" t="s">
        <v>1959</v>
      </c>
      <c r="D537" s="3">
        <v>15.905</v>
      </c>
      <c r="F537" s="4">
        <v>0</v>
      </c>
      <c r="G537" s="3">
        <v>0</v>
      </c>
      <c r="H537" s="5">
        <v>2618.111151</v>
      </c>
      <c r="J537" s="4">
        <v>0</v>
      </c>
      <c r="K537" s="7">
        <v>1.1966</v>
      </c>
      <c r="L537" s="3">
        <v>19.74</v>
      </c>
      <c r="M537" s="3">
        <v>13.44</v>
      </c>
    </row>
    <row r="538" spans="1:13">
      <c r="A538" s="8" t="s">
        <v>549</v>
      </c>
      <c r="B538" s="2">
        <f>HYPERLINK("https://www.suredividend.com/sure-analysis-research-database/","Design Therapeutics, Inc.")</f>
        <v>0</v>
      </c>
      <c r="C538" s="1" t="s">
        <v>1959</v>
      </c>
      <c r="D538" s="3">
        <v>9.555</v>
      </c>
      <c r="F538" s="4">
        <v>0</v>
      </c>
      <c r="G538" s="3">
        <v>0</v>
      </c>
      <c r="H538" s="5">
        <v>544.003879</v>
      </c>
      <c r="J538" s="4">
        <v>0</v>
      </c>
      <c r="K538" s="7">
        <v>1.5386</v>
      </c>
      <c r="L538" s="3">
        <v>10.31</v>
      </c>
      <c r="M538" s="3">
        <v>2.6</v>
      </c>
    </row>
    <row r="539" spans="1:13">
      <c r="A539" s="8" t="s">
        <v>550</v>
      </c>
      <c r="B539" s="2">
        <f>HYPERLINK("https://www.suredividend.com/sure-analysis-research-database/","Distribution Solutions Group, Inc.")</f>
        <v>0</v>
      </c>
      <c r="C539" s="1" t="s">
        <v>1959</v>
      </c>
      <c r="D539" s="3">
        <v>29.74</v>
      </c>
      <c r="F539" s="4">
        <v>0</v>
      </c>
      <c r="G539" s="3">
        <v>0.24</v>
      </c>
      <c r="H539" s="5">
        <v>1372.965185</v>
      </c>
      <c r="J539" s="4">
        <v>0</v>
      </c>
      <c r="K539" s="7">
        <v>0.9874000000000001</v>
      </c>
      <c r="L539" s="3">
        <v>35.29</v>
      </c>
      <c r="M539" s="3">
        <v>21.87</v>
      </c>
    </row>
    <row r="540" spans="1:13">
      <c r="A540" s="8" t="s">
        <v>551</v>
      </c>
      <c r="B540" s="2">
        <f>HYPERLINK("https://www.suredividend.com/sure-analysis-research-database/","Viant Technology Inc.")</f>
        <v>0</v>
      </c>
      <c r="C540" s="1" t="s">
        <v>1959</v>
      </c>
      <c r="D540" s="3">
        <v>12.44</v>
      </c>
      <c r="F540" s="4">
        <v>0</v>
      </c>
      <c r="G540" s="3">
        <v>0</v>
      </c>
      <c r="H540" s="5">
        <v>777.922731</v>
      </c>
      <c r="I540" s="6">
        <v>422.0959</v>
      </c>
      <c r="J540" s="4">
        <v>0.639831</v>
      </c>
      <c r="K540" s="7">
        <v>1.54</v>
      </c>
      <c r="L540" s="3">
        <v>26.33</v>
      </c>
      <c r="M540" s="3">
        <v>8.109999999999999</v>
      </c>
    </row>
    <row r="541" spans="1:13">
      <c r="A541" s="8" t="s">
        <v>552</v>
      </c>
      <c r="B541" s="2">
        <f>HYPERLINK("https://www.suredividend.com/sure-analysis-research-database/","Defence Therapeutics Inc.")</f>
        <v>0</v>
      </c>
      <c r="C541" s="1" t="s">
        <v>1959</v>
      </c>
      <c r="D541" s="3">
        <v>0.61</v>
      </c>
      <c r="F541" s="4">
        <v>0</v>
      </c>
      <c r="G541" s="3">
        <v>0</v>
      </c>
      <c r="K541" s="7">
        <v>1.8537</v>
      </c>
    </row>
    <row r="542" spans="1:13">
      <c r="A542" s="8" t="s">
        <v>553</v>
      </c>
      <c r="B542" s="2">
        <f>HYPERLINK("https://www.suredividend.com/sure-analysis-research-database/","Drilling Tools International Corp")</f>
        <v>0</v>
      </c>
      <c r="C542" s="1" t="s">
        <v>1959</v>
      </c>
      <c r="D542" s="3">
        <v>3.99</v>
      </c>
      <c r="F542" s="4">
        <v>0</v>
      </c>
      <c r="G542" s="3">
        <v>0</v>
      </c>
      <c r="H542" s="5">
        <v>140.795112</v>
      </c>
      <c r="J542" s="4">
        <v>0</v>
      </c>
      <c r="K542" s="7">
        <v>1.244</v>
      </c>
      <c r="L542" s="3">
        <v>4.05</v>
      </c>
      <c r="M542" s="3">
        <v>1.43</v>
      </c>
    </row>
    <row r="543" spans="1:13">
      <c r="A543" s="8" t="s">
        <v>554</v>
      </c>
      <c r="B543" s="2">
        <f>HYPERLINK("https://www.suredividend.com/sure-analysis-research-database/","DYNAVAX TECHNOLOGIES CORP")</f>
        <v>0</v>
      </c>
      <c r="C543" s="1" t="s">
        <v>1965</v>
      </c>
      <c r="D543" s="3">
        <v>15.7</v>
      </c>
      <c r="F543" s="4">
        <v>0</v>
      </c>
      <c r="G543" s="3">
        <v>0</v>
      </c>
      <c r="H543" s="5">
        <v>1841.223498</v>
      </c>
      <c r="J543" s="4">
        <v>0</v>
      </c>
      <c r="K543" s="7">
        <v>0.4664</v>
      </c>
      <c r="L543" s="3">
        <v>15.73</v>
      </c>
      <c r="M543" s="3">
        <v>9.199999999999999</v>
      </c>
    </row>
    <row r="544" spans="1:13">
      <c r="A544" s="8" t="s">
        <v>555</v>
      </c>
      <c r="B544" s="2">
        <f>HYPERLINK("https://www.suredividend.com/sure-analysis-DX/","DYNEX CAPITAL INC")</f>
        <v>0</v>
      </c>
      <c r="C544" s="1" t="s">
        <v>1961</v>
      </c>
      <c r="D544" s="3">
        <v>14.38</v>
      </c>
      <c r="E544" s="4">
        <v>0.1418636995827538</v>
      </c>
      <c r="F544" s="4">
        <v>0.11862</v>
      </c>
      <c r="G544" s="3">
        <v>2</v>
      </c>
      <c r="H544" s="5">
        <v>2109.828476</v>
      </c>
      <c r="I544" s="6">
        <v>12.0261</v>
      </c>
      <c r="J544" s="4">
        <v>1.095869</v>
      </c>
      <c r="K544" s="7">
        <v>0.8048</v>
      </c>
      <c r="L544" s="3">
        <v>14.5</v>
      </c>
      <c r="M544" s="3">
        <v>9.44</v>
      </c>
    </row>
    <row r="545" spans="1:13">
      <c r="A545" s="8" t="s">
        <v>556</v>
      </c>
      <c r="B545" s="2">
        <f>HYPERLINK("https://www.suredividend.com/sure-analysis-research-database/","DESTINATION XL GROUP, INC.")</f>
        <v>0</v>
      </c>
      <c r="C545" s="1" t="s">
        <v>1963</v>
      </c>
      <c r="D545" s="3">
        <v>0.7981</v>
      </c>
      <c r="F545" s="4">
        <v>0</v>
      </c>
      <c r="G545" s="3">
        <v>0</v>
      </c>
      <c r="H545" s="5">
        <v>43.621285</v>
      </c>
      <c r="J545" s="4">
        <v>0</v>
      </c>
      <c r="K545" s="7">
        <v>1.2293</v>
      </c>
      <c r="L545" s="3">
        <v>3.1</v>
      </c>
      <c r="M545" s="3">
        <v>0.8</v>
      </c>
    </row>
    <row r="546" spans="1:13">
      <c r="A546" s="8" t="s">
        <v>557</v>
      </c>
      <c r="B546" s="2">
        <f>HYPERLINK("https://www.suredividend.com/sure-analysis-research-database/","DXP ENTERPRISES INC")</f>
        <v>0</v>
      </c>
      <c r="C546" s="1" t="s">
        <v>1964</v>
      </c>
      <c r="D546" s="3">
        <v>127.725</v>
      </c>
      <c r="F546" s="4">
        <v>0</v>
      </c>
      <c r="G546" s="3">
        <v>0</v>
      </c>
      <c r="H546" s="5">
        <v>2002.872505</v>
      </c>
      <c r="I546" s="6">
        <v>22.9938</v>
      </c>
      <c r="J546" s="4">
        <v>0.001032</v>
      </c>
      <c r="K546" s="7">
        <v>1.4435</v>
      </c>
      <c r="L546" s="3">
        <v>130.97</v>
      </c>
      <c r="M546" s="3">
        <v>67.68000000000001</v>
      </c>
    </row>
    <row r="547" spans="1:13">
      <c r="A547" s="8" t="s">
        <v>558</v>
      </c>
      <c r="B547" s="2">
        <f>HYPERLINK("https://www.suredividend.com/sure-analysis-research-database/","DYCOM INDUSTRIES INC")</f>
        <v>0</v>
      </c>
      <c r="C547" s="1" t="s">
        <v>1964</v>
      </c>
      <c r="D547" s="3">
        <v>379</v>
      </c>
      <c r="F547" s="4">
        <v>0</v>
      </c>
      <c r="G547" s="3">
        <v>0</v>
      </c>
      <c r="H547" s="5">
        <v>10875.603195</v>
      </c>
      <c r="I547" s="6">
        <v>36.5485</v>
      </c>
      <c r="J547" s="4">
        <v>0</v>
      </c>
      <c r="K547" s="7">
        <v>0.8835</v>
      </c>
      <c r="L547" s="3">
        <v>379.89</v>
      </c>
      <c r="M547" s="3">
        <v>131.37</v>
      </c>
    </row>
    <row r="548" spans="1:13">
      <c r="A548" s="8" t="s">
        <v>559</v>
      </c>
      <c r="B548" s="2">
        <f>HYPERLINK("https://www.suredividend.com/sure-analysis-research-database/","Dyne Therapeutics, Inc.")</f>
        <v>0</v>
      </c>
      <c r="C548" s="1" t="s">
        <v>1959</v>
      </c>
      <c r="D548" s="3">
        <v>17.68</v>
      </c>
      <c r="F548" s="4">
        <v>0</v>
      </c>
      <c r="G548" s="3">
        <v>0</v>
      </c>
      <c r="H548" s="5">
        <v>2499.432023</v>
      </c>
      <c r="J548" s="4">
        <v>0</v>
      </c>
      <c r="K548" s="7">
        <v>2.0089</v>
      </c>
      <c r="L548" s="3">
        <v>25</v>
      </c>
      <c r="M548" s="3">
        <v>6.36</v>
      </c>
    </row>
    <row r="549" spans="1:13">
      <c r="A549" s="8" t="s">
        <v>560</v>
      </c>
      <c r="B549" s="2">
        <f>HYPERLINK("https://www.suredividend.com/sure-analysis-research-database/","GRAFTECH INTERNATIONAL LTD")</f>
        <v>0</v>
      </c>
      <c r="C549" s="1" t="s">
        <v>1964</v>
      </c>
      <c r="D549" s="3">
        <v>17.76</v>
      </c>
      <c r="F549" s="4">
        <v>0.01154</v>
      </c>
      <c r="G549" s="3">
        <v>0.4</v>
      </c>
      <c r="H549" s="5">
        <v>457.015947</v>
      </c>
      <c r="J549" s="4">
        <v>0</v>
      </c>
      <c r="K549" s="7">
        <v>1.4902</v>
      </c>
      <c r="L549" s="3">
        <v>20.32</v>
      </c>
      <c r="M549" s="3">
        <v>5.5</v>
      </c>
    </row>
    <row r="550" spans="1:13">
      <c r="A550" s="8" t="s">
        <v>561</v>
      </c>
      <c r="B550" s="2">
        <f>HYPERLINK("https://www.suredividend.com/sure-analysis-research-database/","BRINKER INTERNATIONAL, INC")</f>
        <v>0</v>
      </c>
      <c r="C550" s="1" t="s">
        <v>1963</v>
      </c>
      <c r="D550" s="3">
        <v>160.6</v>
      </c>
      <c r="F550" s="4">
        <v>0</v>
      </c>
      <c r="G550" s="3">
        <v>0</v>
      </c>
      <c r="H550" s="5">
        <v>7148.982494</v>
      </c>
      <c r="I550" s="6">
        <v>16.0977</v>
      </c>
      <c r="J550" s="4">
        <v>0</v>
      </c>
      <c r="L550" s="3">
        <v>192.22</v>
      </c>
      <c r="M550" s="3">
        <v>100.3</v>
      </c>
    </row>
    <row r="551" spans="1:13">
      <c r="A551" s="8" t="s">
        <v>562</v>
      </c>
      <c r="B551" s="2">
        <f>HYPERLINK("https://www.suredividend.com/sure-analysis-research-database/","Eventbrite, Inc.")</f>
        <v>0</v>
      </c>
      <c r="C551" s="1" t="s">
        <v>1960</v>
      </c>
      <c r="D551" s="3">
        <v>4.46</v>
      </c>
      <c r="G551" s="3">
        <v>0</v>
      </c>
      <c r="H551" s="5">
        <v>435.631196</v>
      </c>
      <c r="J551" s="4">
        <v>0</v>
      </c>
      <c r="L551" s="3">
        <v>4.48</v>
      </c>
      <c r="M551" s="3">
        <v>1.81</v>
      </c>
    </row>
    <row r="552" spans="1:13">
      <c r="A552" s="8" t="s">
        <v>563</v>
      </c>
      <c r="B552" s="2">
        <f>HYPERLINK("https://www.suredividend.com/sure-analysis-EBC/","Eastern Bankshares, Inc.")</f>
        <v>0</v>
      </c>
      <c r="C552" s="1" t="s">
        <v>1959</v>
      </c>
      <c r="D552" s="3">
        <v>20.27</v>
      </c>
      <c r="E552" s="4">
        <v>0.02565367538233843</v>
      </c>
      <c r="F552" s="4">
        <v>0.02133</v>
      </c>
      <c r="G552" s="3">
        <v>0</v>
      </c>
      <c r="H552" s="5">
        <v>4272.874041</v>
      </c>
      <c r="I552" s="6">
        <v>86.35209999999999</v>
      </c>
      <c r="J552" s="4">
        <v>2.030941</v>
      </c>
    </row>
    <row r="553" spans="1:13">
      <c r="A553" s="8" t="s">
        <v>564</v>
      </c>
      <c r="B553" s="2">
        <f>HYPERLINK("https://www.suredividend.com/sure-analysis-research-database/","ENNIS, INC.")</f>
        <v>0</v>
      </c>
      <c r="C553" s="1" t="s">
        <v>1964</v>
      </c>
      <c r="D553" s="3">
        <v>19.56</v>
      </c>
      <c r="E553" s="4">
        <v>0.05</v>
      </c>
      <c r="F553" s="4">
        <v>0.07992</v>
      </c>
      <c r="G553" s="3">
        <v>0</v>
      </c>
      <c r="H553" s="5">
        <v>494.47553</v>
      </c>
      <c r="I553" s="6">
        <v>12.1311</v>
      </c>
      <c r="J553" s="4">
        <v>0.634455</v>
      </c>
      <c r="L553" s="3">
        <v>20.83</v>
      </c>
      <c r="M553" s="3">
        <v>16.07</v>
      </c>
    </row>
    <row r="554" spans="1:13">
      <c r="A554" s="8" t="s">
        <v>565</v>
      </c>
      <c r="B554" s="2">
        <f>HYPERLINK("https://www.suredividend.com/sure-analysis-research-database/","ENTERPRISE BANCORP INC /MA/")</f>
        <v>0</v>
      </c>
      <c r="C554" s="1" t="s">
        <v>1962</v>
      </c>
      <c r="D554" s="3">
        <v>39.74</v>
      </c>
      <c r="E554" s="4">
        <v>0.02</v>
      </c>
      <c r="F554" s="4">
        <v>0.01988</v>
      </c>
      <c r="G554" s="3">
        <v>0</v>
      </c>
      <c r="H554" s="5">
        <v>495.832421</v>
      </c>
      <c r="I554" s="6">
        <v>12.1943</v>
      </c>
      <c r="J554" s="4">
        <v>0.266619</v>
      </c>
    </row>
    <row r="555" spans="1:13">
      <c r="A555" s="8" t="s">
        <v>566</v>
      </c>
      <c r="B555" s="2">
        <f>HYPERLINK("https://www.suredividend.com/sure-analysis-research-database/","ENCORE CAPITAL GROUP INC")</f>
        <v>0</v>
      </c>
      <c r="C555" s="1" t="s">
        <v>1962</v>
      </c>
      <c r="D555" s="3">
        <v>56.02</v>
      </c>
      <c r="G555" s="3">
        <v>0</v>
      </c>
      <c r="H555" s="5">
        <v>1251.013187</v>
      </c>
      <c r="J555" s="4">
        <v>0</v>
      </c>
      <c r="K555" s="7">
        <v>0.9812</v>
      </c>
      <c r="L555" s="3">
        <v>57.81</v>
      </c>
      <c r="M555" s="3">
        <v>26.45</v>
      </c>
    </row>
    <row r="556" spans="1:13">
      <c r="A556" s="8" t="s">
        <v>567</v>
      </c>
      <c r="B556" s="2">
        <f>HYPERLINK("https://www.suredividend.com/sure-analysis-research-database/","Ecovyst Inc.")</f>
        <v>0</v>
      </c>
      <c r="C556" s="1" t="s">
        <v>1959</v>
      </c>
      <c r="D556" s="3">
        <v>10.94</v>
      </c>
      <c r="F556" s="4">
        <v>0.06299</v>
      </c>
      <c r="G556" s="3">
        <v>5</v>
      </c>
      <c r="H556" s="5">
        <v>1248.512583</v>
      </c>
      <c r="J556" s="4">
        <v>0</v>
      </c>
      <c r="K556" s="7">
        <v>1.1555</v>
      </c>
      <c r="L556" s="3">
        <v>10.88</v>
      </c>
      <c r="M556" s="3">
        <v>5.24</v>
      </c>
    </row>
    <row r="557" spans="1:13">
      <c r="A557" s="8" t="s">
        <v>568</v>
      </c>
      <c r="B557" s="2">
        <f>HYPERLINK("https://www.suredividend.com/sure-analysis-research-database/","Editas Medicine, Inc.")</f>
        <v>0</v>
      </c>
      <c r="C557" s="1" t="s">
        <v>1965</v>
      </c>
      <c r="D557" s="3">
        <v>2.13</v>
      </c>
      <c r="F557" s="4">
        <v>0</v>
      </c>
      <c r="G557" s="3">
        <v>0</v>
      </c>
      <c r="H557" s="5">
        <v>206.951559</v>
      </c>
      <c r="J557" s="4">
        <v>0</v>
      </c>
      <c r="K557" s="7">
        <v>2.3172</v>
      </c>
      <c r="L557" s="3">
        <v>4.54</v>
      </c>
      <c r="M557" s="3">
        <v>0.91</v>
      </c>
    </row>
    <row r="558" spans="1:13">
      <c r="A558" s="8" t="s">
        <v>569</v>
      </c>
      <c r="B558" s="2">
        <f>HYPERLINK("https://www.suredividend.com/sure-analysis-research-database/","Excelerate Energy, Inc.")</f>
        <v>0</v>
      </c>
      <c r="C558" s="1" t="s">
        <v>1967</v>
      </c>
      <c r="D558" s="3">
        <v>35</v>
      </c>
      <c r="E558" s="4">
        <v>0.01</v>
      </c>
      <c r="F558" s="4">
        <v>0.00395</v>
      </c>
      <c r="G558" s="3">
        <v>0.28</v>
      </c>
      <c r="H558" s="5">
        <v>3927.226607</v>
      </c>
      <c r="I558" s="6">
        <v>95.79770000000001</v>
      </c>
      <c r="J558" s="4">
        <v>0.251007</v>
      </c>
      <c r="K558" s="7">
        <v>0.7084</v>
      </c>
      <c r="L558" s="3">
        <v>33.77</v>
      </c>
      <c r="M558" s="3">
        <v>21.15</v>
      </c>
    </row>
    <row r="559" spans="1:13">
      <c r="A559" s="8" t="s">
        <v>570</v>
      </c>
      <c r="B559" s="2">
        <f>HYPERLINK("https://www.suredividend.com/sure-analysis-research-database/","Emerald Holding, Inc.")</f>
        <v>0</v>
      </c>
      <c r="C559" s="1" t="s">
        <v>1968</v>
      </c>
      <c r="D559" s="3">
        <v>4.85</v>
      </c>
      <c r="E559" s="4">
        <v>0.01</v>
      </c>
      <c r="F559" s="4">
        <v>0.00373</v>
      </c>
      <c r="G559" s="3">
        <v>0.06</v>
      </c>
      <c r="H559" s="5">
        <v>963.321819</v>
      </c>
      <c r="I559" s="6">
        <v>209.4178</v>
      </c>
      <c r="J559" s="4">
        <v>2.608696</v>
      </c>
      <c r="K559" s="7">
        <v>1.0716</v>
      </c>
      <c r="L559" s="3">
        <v>5.43</v>
      </c>
      <c r="M559" s="3">
        <v>3.18</v>
      </c>
    </row>
    <row r="560" spans="1:13">
      <c r="A560" s="8" t="s">
        <v>571</v>
      </c>
      <c r="B560" s="2">
        <f>HYPERLINK("https://www.suredividend.com/sure-analysis-EFC/","Ellington Financial Inc.")</f>
        <v>0</v>
      </c>
      <c r="C560" s="1" t="s">
        <v>1962</v>
      </c>
      <c r="D560" s="3">
        <v>14</v>
      </c>
      <c r="E560" s="4">
        <v>0.1114285714285714</v>
      </c>
      <c r="F560" s="4">
        <v>0.12344</v>
      </c>
      <c r="G560" s="3">
        <v>1.56</v>
      </c>
      <c r="H560" s="5">
        <v>1501.356842</v>
      </c>
      <c r="I560" s="6">
        <v>11.8714</v>
      </c>
      <c r="J560" s="4">
        <v>1.111231</v>
      </c>
      <c r="K560" s="7">
        <v>0.6651</v>
      </c>
      <c r="L560" s="3">
        <v>14.03</v>
      </c>
      <c r="M560" s="3">
        <v>10.18</v>
      </c>
    </row>
    <row r="561" spans="1:13">
      <c r="A561" s="8" t="s">
        <v>572</v>
      </c>
      <c r="B561" s="2">
        <f>HYPERLINK("https://www.suredividend.com/sure-analysis-EFSC/","ENTERPRISE FINANCIAL SERVICES CORP")</f>
        <v>0</v>
      </c>
      <c r="C561" s="1" t="s">
        <v>1962</v>
      </c>
      <c r="D561" s="3">
        <v>57.89</v>
      </c>
      <c r="E561" s="4">
        <v>0.02211089998272586</v>
      </c>
      <c r="F561" s="4">
        <v>0.01814</v>
      </c>
      <c r="G561" s="3">
        <v>1.22</v>
      </c>
      <c r="H561" s="5">
        <v>2142.561522</v>
      </c>
      <c r="I561" s="6">
        <v>11.1787</v>
      </c>
      <c r="J561" s="4">
        <v>0.242562</v>
      </c>
      <c r="K561" s="7">
        <v>0.8038999999999999</v>
      </c>
      <c r="L561" s="3">
        <v>61.63</v>
      </c>
      <c r="M561" s="3">
        <v>44.48</v>
      </c>
    </row>
    <row r="562" spans="1:13">
      <c r="A562" s="8" t="s">
        <v>573</v>
      </c>
      <c r="B562" s="2">
        <f>HYPERLINK("https://www.suredividend.com/sure-analysis-research-database/","EGAIN Corp")</f>
        <v>0</v>
      </c>
      <c r="C562" s="1" t="s">
        <v>1960</v>
      </c>
      <c r="D562" s="3">
        <v>10.33</v>
      </c>
      <c r="F562" s="4">
        <v>0</v>
      </c>
      <c r="G562" s="3">
        <v>0</v>
      </c>
      <c r="H562" s="5">
        <v>279.708963</v>
      </c>
      <c r="I562" s="6">
        <v>8.1259</v>
      </c>
      <c r="J562" s="4">
        <v>0</v>
      </c>
      <c r="K562" s="7">
        <v>0.8185</v>
      </c>
      <c r="L562" s="3">
        <v>15.95</v>
      </c>
      <c r="M562" s="3">
        <v>4.34</v>
      </c>
    </row>
    <row r="563" spans="1:13">
      <c r="A563" s="8" t="s">
        <v>574</v>
      </c>
      <c r="B563" s="2">
        <f>HYPERLINK("https://www.suredividend.com/sure-analysis-research-database/","EAGLE BANCORP INC")</f>
        <v>0</v>
      </c>
      <c r="C563" s="1" t="s">
        <v>1962</v>
      </c>
      <c r="D563" s="3">
        <v>25.5</v>
      </c>
      <c r="E563" s="4">
        <v>0.02</v>
      </c>
      <c r="F563" s="4">
        <v>0.06447</v>
      </c>
      <c r="G563" s="3">
        <v>0.51</v>
      </c>
      <c r="H563" s="5">
        <v>729.820801</v>
      </c>
      <c r="K563" s="7">
        <v>0.8761</v>
      </c>
      <c r="L563" s="3">
        <v>26.46</v>
      </c>
      <c r="M563" s="3">
        <v>15.03</v>
      </c>
    </row>
    <row r="564" spans="1:13">
      <c r="A564" s="8" t="s">
        <v>575</v>
      </c>
      <c r="B564" s="2">
        <f>HYPERLINK("https://www.suredividend.com/sure-analysis-research-database/","8X8 INC /DE/")</f>
        <v>0</v>
      </c>
      <c r="C564" s="1" t="s">
        <v>1960</v>
      </c>
      <c r="D564" s="3">
        <v>1.675</v>
      </c>
      <c r="F564" s="4">
        <v>0</v>
      </c>
      <c r="G564" s="3">
        <v>0</v>
      </c>
      <c r="H564" s="5">
        <v>232.91581</v>
      </c>
      <c r="J564" s="4">
        <v>0</v>
      </c>
      <c r="K564" s="7">
        <v>2.0111</v>
      </c>
      <c r="L564" s="3">
        <v>3.52</v>
      </c>
      <c r="M564" s="3">
        <v>1.52</v>
      </c>
    </row>
    <row r="565" spans="1:13">
      <c r="A565" s="8" t="s">
        <v>576</v>
      </c>
      <c r="B565" s="2">
        <f>HYPERLINK("https://www.suredividend.com/sure-analysis-research-database/","VAALCO ENERGY INC /DE/")</f>
        <v>0</v>
      </c>
      <c r="C565" s="1" t="s">
        <v>1969</v>
      </c>
      <c r="D565" s="3">
        <v>4.79</v>
      </c>
      <c r="E565" s="4">
        <v>0.05</v>
      </c>
      <c r="F565" s="4">
        <v>0.05417</v>
      </c>
      <c r="G565" s="3">
        <v>0.25</v>
      </c>
      <c r="H565" s="5">
        <v>501.482197</v>
      </c>
      <c r="I565" s="6">
        <v>17.368</v>
      </c>
      <c r="J565" s="4">
        <v>0.913486</v>
      </c>
      <c r="K565" s="7">
        <v>0.8395</v>
      </c>
      <c r="L565" s="3">
        <v>4.69</v>
      </c>
      <c r="M565" s="3">
        <v>2.84</v>
      </c>
    </row>
    <row r="566" spans="1:13">
      <c r="A566" s="8" t="s">
        <v>577</v>
      </c>
      <c r="B566" s="2">
        <f>HYPERLINK("https://www.suredividend.com/sure-analysis-research-database/","Enhabit, Inc.")</f>
        <v>0</v>
      </c>
      <c r="C566" s="1" t="s">
        <v>1959</v>
      </c>
      <c r="D566" s="3">
        <v>10.98</v>
      </c>
      <c r="F566" s="4">
        <v>0</v>
      </c>
      <c r="G566" s="3">
        <v>0</v>
      </c>
      <c r="H566" s="5">
        <v>543.519986</v>
      </c>
      <c r="K566" s="7">
        <v>0.7756</v>
      </c>
      <c r="L566" s="3">
        <v>11.27</v>
      </c>
      <c r="M566" s="3">
        <v>6.47</v>
      </c>
    </row>
    <row r="567" spans="1:13">
      <c r="A567" s="8" t="s">
        <v>578</v>
      </c>
      <c r="B567" s="2">
        <f>HYPERLINK("https://www.suredividend.com/sure-analysis-research-database/","Employers Holdings, Inc.")</f>
        <v>0</v>
      </c>
      <c r="C567" s="1" t="s">
        <v>1962</v>
      </c>
      <c r="D567" s="3">
        <v>44.57</v>
      </c>
      <c r="E567" s="4">
        <v>0.03</v>
      </c>
      <c r="F567" s="4">
        <v>0.03636</v>
      </c>
      <c r="G567" s="3">
        <v>1.26</v>
      </c>
      <c r="H567" s="5">
        <v>1001.444172</v>
      </c>
      <c r="I567" s="6">
        <v>16.0231</v>
      </c>
      <c r="J567" s="4">
        <v>0.4848</v>
      </c>
      <c r="K567" s="7">
        <v>0.4051</v>
      </c>
      <c r="L567" s="3">
        <v>50.83</v>
      </c>
      <c r="M567" s="3">
        <v>35.44</v>
      </c>
    </row>
    <row r="568" spans="1:13">
      <c r="A568" s="8" t="s">
        <v>579</v>
      </c>
      <c r="B568" s="2">
        <f>HYPERLINK("https://www.suredividend.com/sure-analysis-research-database/","Elevation Oncology, Inc.")</f>
        <v>0</v>
      </c>
      <c r="C568" s="1" t="s">
        <v>1959</v>
      </c>
      <c r="D568" s="3">
        <v>0.3769</v>
      </c>
      <c r="F568" s="4">
        <v>0</v>
      </c>
      <c r="G568" s="3">
        <v>0</v>
      </c>
      <c r="H568" s="5">
        <v>21.616661</v>
      </c>
      <c r="J568" s="4">
        <v>0</v>
      </c>
      <c r="K568" s="7">
        <v>0.9246</v>
      </c>
    </row>
    <row r="569" spans="1:13">
      <c r="A569" s="8" t="s">
        <v>580</v>
      </c>
      <c r="B569" s="2">
        <f>HYPERLINK("https://www.suredividend.com/sure-analysis-research-database/","Elme Communities")</f>
        <v>0</v>
      </c>
      <c r="C569" s="1" t="s">
        <v>1959</v>
      </c>
      <c r="D569" s="3">
        <v>3.17</v>
      </c>
      <c r="E569" s="4">
        <v>0.23</v>
      </c>
      <c r="F569" s="4">
        <v>0.04155</v>
      </c>
      <c r="G569" s="3">
        <v>0.72</v>
      </c>
      <c r="H569" s="5">
        <v>280.352492</v>
      </c>
      <c r="K569" s="7">
        <v>0.4138</v>
      </c>
      <c r="L569" s="3">
        <v>17.68</v>
      </c>
      <c r="M569" s="3">
        <v>2.7</v>
      </c>
    </row>
    <row r="570" spans="1:13">
      <c r="A570" s="8" t="s">
        <v>581</v>
      </c>
      <c r="B570" s="2">
        <f>HYPERLINK("https://www.suredividend.com/sure-analysis-research-database/","Enliven Therapeutics, Inc.")</f>
        <v>0</v>
      </c>
      <c r="C570" s="1" t="s">
        <v>1959</v>
      </c>
      <c r="D570" s="3">
        <v>27.2</v>
      </c>
      <c r="F570" s="4">
        <v>0</v>
      </c>
      <c r="G570" s="3">
        <v>0</v>
      </c>
      <c r="H570" s="5">
        <v>1614.543759</v>
      </c>
      <c r="J570" s="4">
        <v>0</v>
      </c>
      <c r="K570" s="7">
        <v>-0.3454</v>
      </c>
      <c r="L570" s="3">
        <v>29.98</v>
      </c>
      <c r="M570" s="3">
        <v>13.3</v>
      </c>
    </row>
    <row r="571" spans="1:13">
      <c r="A571" s="8" t="s">
        <v>582</v>
      </c>
      <c r="B571" s="2">
        <f>HYPERLINK("https://www.suredividend.com/sure-analysis-research-database/","Embecta Corp.")</f>
        <v>0</v>
      </c>
      <c r="C571" s="1" t="s">
        <v>1959</v>
      </c>
      <c r="D571" s="3">
        <v>12.31</v>
      </c>
      <c r="E571" s="4">
        <v>0.05</v>
      </c>
      <c r="F571" s="4">
        <v>0.0336</v>
      </c>
      <c r="G571" s="3">
        <v>0.6</v>
      </c>
      <c r="H571" s="5">
        <v>721.46333</v>
      </c>
      <c r="I571" s="6">
        <v>7.5625</v>
      </c>
      <c r="J571" s="4">
        <v>0.366876</v>
      </c>
      <c r="L571" s="3">
        <v>18.75</v>
      </c>
      <c r="M571" s="3">
        <v>8.99</v>
      </c>
    </row>
    <row r="572" spans="1:13">
      <c r="A572" s="8" t="s">
        <v>583</v>
      </c>
      <c r="B572" s="2">
        <f>HYPERLINK("https://www.suredividend.com/sure-analysis-research-database/","EASTERN CO")</f>
        <v>0</v>
      </c>
      <c r="C572" s="1" t="s">
        <v>1964</v>
      </c>
      <c r="D572" s="3">
        <v>18.165</v>
      </c>
      <c r="E572" s="4">
        <v>0.02</v>
      </c>
      <c r="F572" s="4">
        <v>0.02414</v>
      </c>
      <c r="G572" s="3">
        <v>0</v>
      </c>
      <c r="H572" s="5">
        <v>110.297714</v>
      </c>
      <c r="I572" s="6">
        <v>13.8178</v>
      </c>
      <c r="J572" s="4">
        <v>0.370498</v>
      </c>
    </row>
    <row r="573" spans="1:13">
      <c r="A573" s="8" t="s">
        <v>584</v>
      </c>
      <c r="B573" s="2">
        <f>HYPERLINK("https://www.suredividend.com/sure-analysis-research-database/","Enfusion, Inc.")</f>
        <v>0</v>
      </c>
      <c r="C573" s="1" t="s">
        <v>1959</v>
      </c>
      <c r="D573" s="3">
        <v>0</v>
      </c>
      <c r="G573" s="3">
        <v>0</v>
      </c>
      <c r="H573" s="5">
        <v>2776.098077</v>
      </c>
      <c r="I573" s="6">
        <v>983.3858</v>
      </c>
      <c r="J573" s="4">
        <v>0.034738</v>
      </c>
    </row>
    <row r="574" spans="1:13">
      <c r="A574" s="8" t="s">
        <v>585</v>
      </c>
      <c r="B574" s="2">
        <f>HYPERLINK("https://www.suredividend.com/sure-analysis-research-database/","ENERGIZER HOLDINGS, INC.")</f>
        <v>0</v>
      </c>
      <c r="C574" s="1" t="s">
        <v>1964</v>
      </c>
      <c r="D574" s="3">
        <v>20.095</v>
      </c>
      <c r="E574" s="4">
        <v>0.06</v>
      </c>
      <c r="F574" s="4">
        <v>0.05944</v>
      </c>
      <c r="G574" s="3">
        <v>1.2</v>
      </c>
      <c r="H574" s="5">
        <v>1374.752814</v>
      </c>
      <c r="I574" s="6">
        <v>7.0864</v>
      </c>
      <c r="J574" s="4">
        <v>0.364435</v>
      </c>
      <c r="K574" s="7">
        <v>0.8085</v>
      </c>
      <c r="L574" s="3">
        <v>33.95</v>
      </c>
      <c r="M574" s="3">
        <v>16.77</v>
      </c>
    </row>
    <row r="575" spans="1:13">
      <c r="A575" s="8" t="s">
        <v>586</v>
      </c>
      <c r="B575" s="2">
        <f>HYPERLINK("https://www.suredividend.com/sure-analysis-research-database/","EnerSys")</f>
        <v>0</v>
      </c>
      <c r="C575" s="1" t="s">
        <v>1964</v>
      </c>
      <c r="D575" s="3">
        <v>177.29</v>
      </c>
      <c r="E575" s="4">
        <v>0.01</v>
      </c>
      <c r="F575" s="4">
        <v>0.00538</v>
      </c>
      <c r="G575" s="3">
        <v>1</v>
      </c>
      <c r="H575" s="5">
        <v>6414.807663</v>
      </c>
      <c r="I575" s="6">
        <v>19.0214</v>
      </c>
      <c r="J575" s="4">
        <v>0.112041</v>
      </c>
      <c r="K575" s="7">
        <v>1.1891</v>
      </c>
      <c r="L575" s="3">
        <v>173</v>
      </c>
      <c r="M575" s="3">
        <v>76.04000000000001</v>
      </c>
    </row>
    <row r="576" spans="1:13">
      <c r="A576" s="8" t="s">
        <v>587</v>
      </c>
      <c r="B576" s="2">
        <f>HYPERLINK("https://www.suredividend.com/sure-analysis-ENSG/","ENSIGN GROUP, INC")</f>
        <v>0</v>
      </c>
      <c r="C576" s="1" t="s">
        <v>1965</v>
      </c>
      <c r="D576" s="3">
        <v>177.78</v>
      </c>
      <c r="E576" s="4">
        <v>0.001462481718978513</v>
      </c>
      <c r="F576" s="4">
        <v>0.00129</v>
      </c>
      <c r="G576" s="3">
        <v>0.25</v>
      </c>
      <c r="H576" s="5">
        <v>10303.6604</v>
      </c>
      <c r="I576" s="6">
        <v>31.3941</v>
      </c>
      <c r="J576" s="4">
        <v>0.044121</v>
      </c>
      <c r="K576" s="7">
        <v>0.4209</v>
      </c>
      <c r="L576" s="3">
        <v>193.92</v>
      </c>
      <c r="M576" s="3">
        <v>118.59</v>
      </c>
    </row>
    <row r="577" spans="1:13">
      <c r="A577" s="8" t="s">
        <v>588</v>
      </c>
      <c r="B577" s="2">
        <f>HYPERLINK("https://www.suredividend.com/sure-analysis-research-database/","ENANTA PHARMACEUTICALS INC")</f>
        <v>0</v>
      </c>
      <c r="C577" s="1" t="s">
        <v>1965</v>
      </c>
      <c r="D577" s="3">
        <v>12.57</v>
      </c>
      <c r="F577" s="4">
        <v>0</v>
      </c>
      <c r="G577" s="3">
        <v>0</v>
      </c>
      <c r="H577" s="5">
        <v>362.802895</v>
      </c>
      <c r="J577" s="4">
        <v>0</v>
      </c>
      <c r="K577" s="7">
        <v>1.4716</v>
      </c>
      <c r="L577" s="3">
        <v>17.15</v>
      </c>
      <c r="M577" s="3">
        <v>4.09</v>
      </c>
    </row>
    <row r="578" spans="1:13">
      <c r="A578" s="8" t="s">
        <v>589</v>
      </c>
      <c r="B578" s="2">
        <f>HYPERLINK("https://www.suredividend.com/sure-analysis-research-database/","Enova International, Inc.")</f>
        <v>0</v>
      </c>
      <c r="C578" s="1" t="s">
        <v>1962</v>
      </c>
      <c r="D578" s="3">
        <v>158.25</v>
      </c>
      <c r="F578" s="4">
        <v>0</v>
      </c>
      <c r="G578" s="3">
        <v>0</v>
      </c>
      <c r="H578" s="5">
        <v>3922.86575</v>
      </c>
      <c r="I578" s="6">
        <v>13.3839</v>
      </c>
      <c r="J578" s="4">
        <v>0</v>
      </c>
      <c r="K578" s="7">
        <v>1.3889</v>
      </c>
      <c r="L578" s="3">
        <v>168.68</v>
      </c>
      <c r="M578" s="3">
        <v>79.41</v>
      </c>
    </row>
    <row r="579" spans="1:13">
      <c r="A579" s="8" t="s">
        <v>590</v>
      </c>
      <c r="B579" s="2">
        <f>HYPERLINK("https://www.suredividend.com/sure-analysis-research-database/","Enovix Corp")</f>
        <v>0</v>
      </c>
      <c r="C579" s="1" t="s">
        <v>1959</v>
      </c>
      <c r="D579" s="3">
        <v>7.64</v>
      </c>
      <c r="F579" s="4">
        <v>0</v>
      </c>
      <c r="G579" s="3">
        <v>0</v>
      </c>
      <c r="H579" s="5">
        <v>1624.01543</v>
      </c>
      <c r="J579" s="4">
        <v>0</v>
      </c>
      <c r="K579" s="7">
        <v>2.7719</v>
      </c>
      <c r="L579" s="3">
        <v>16.49</v>
      </c>
      <c r="M579" s="3">
        <v>5.27</v>
      </c>
    </row>
    <row r="580" spans="1:13">
      <c r="A580" s="8" t="s">
        <v>591</v>
      </c>
      <c r="B580" s="2">
        <f>HYPERLINK("https://www.suredividend.com/sure-analysis-research-database/","Evolus, Inc.")</f>
        <v>0</v>
      </c>
      <c r="C580" s="1" t="s">
        <v>1965</v>
      </c>
      <c r="D580" s="3">
        <v>4.91</v>
      </c>
      <c r="F580" s="4">
        <v>0</v>
      </c>
      <c r="G580" s="3">
        <v>0</v>
      </c>
      <c r="H580" s="5">
        <v>317.616942</v>
      </c>
      <c r="J580" s="4">
        <v>0</v>
      </c>
      <c r="K580" s="7">
        <v>0.9465</v>
      </c>
      <c r="L580" s="3">
        <v>17.12</v>
      </c>
      <c r="M580" s="3">
        <v>4.74</v>
      </c>
    </row>
    <row r="581" spans="1:13">
      <c r="A581" s="8" t="s">
        <v>592</v>
      </c>
      <c r="B581" s="2">
        <f>HYPERLINK("https://www.suredividend.com/sure-analysis-research-database/","EMPIRE PETROLEUM CORP")</f>
        <v>0</v>
      </c>
      <c r="C581" s="1" t="s">
        <v>1959</v>
      </c>
      <c r="D581" s="3">
        <v>3.15</v>
      </c>
      <c r="F581" s="4">
        <v>0</v>
      </c>
      <c r="G581" s="3">
        <v>0</v>
      </c>
      <c r="H581" s="5">
        <v>110.492889</v>
      </c>
      <c r="J581" s="4">
        <v>0</v>
      </c>
      <c r="K581" s="7">
        <v>0.8477</v>
      </c>
      <c r="L581" s="3">
        <v>6.9</v>
      </c>
      <c r="M581" s="3">
        <v>2.78</v>
      </c>
    </row>
    <row r="582" spans="1:13">
      <c r="A582" s="8" t="s">
        <v>593</v>
      </c>
      <c r="B582" s="2">
        <f>HYPERLINK("https://www.suredividend.com/sure-analysis-research-database/","ENERPAC TOOL GROUP CORP")</f>
        <v>0</v>
      </c>
      <c r="C582" s="1" t="s">
        <v>1964</v>
      </c>
      <c r="D582" s="3">
        <v>41.66</v>
      </c>
      <c r="F582" s="4">
        <v>0.00101</v>
      </c>
      <c r="G582" s="3">
        <v>0.04</v>
      </c>
      <c r="H582" s="5">
        <v>2198.660866</v>
      </c>
      <c r="I582" s="6">
        <v>24.387</v>
      </c>
      <c r="J582" s="4">
        <v>0.023503</v>
      </c>
      <c r="K582" s="7">
        <v>0.846</v>
      </c>
      <c r="L582" s="3">
        <v>47.42</v>
      </c>
      <c r="M582" s="3">
        <v>35.01</v>
      </c>
    </row>
    <row r="583" spans="1:13">
      <c r="A583" s="8" t="s">
        <v>594</v>
      </c>
      <c r="B583" s="2">
        <f>HYPERLINK("https://www.suredividend.com/sure-analysis-research-database/","EDGEWELL PERSONAL CARE Co")</f>
        <v>0</v>
      </c>
      <c r="C583" s="1" t="s">
        <v>1966</v>
      </c>
      <c r="D583" s="3">
        <v>19.15</v>
      </c>
      <c r="E583" s="4">
        <v>0.03</v>
      </c>
      <c r="F583" s="4">
        <v>0.03497</v>
      </c>
      <c r="G583" s="3">
        <v>0.6</v>
      </c>
      <c r="H583" s="5">
        <v>936.344361</v>
      </c>
      <c r="I583" s="6">
        <v>36.864</v>
      </c>
      <c r="J583" s="4">
        <v>1.153543</v>
      </c>
      <c r="K583" s="7">
        <v>0.6885</v>
      </c>
      <c r="L583" s="3">
        <v>33.85</v>
      </c>
      <c r="M583" s="3">
        <v>15.88</v>
      </c>
    </row>
    <row r="584" spans="1:13">
      <c r="A584" s="8" t="s">
        <v>595</v>
      </c>
      <c r="B584" s="2">
        <f>HYPERLINK("https://www.suredividend.com/sure-analysis-research-database/","EVOLUTION PETROLEUM CORP")</f>
        <v>0</v>
      </c>
      <c r="C584" s="1" t="s">
        <v>1969</v>
      </c>
      <c r="D584" s="3">
        <v>3.74</v>
      </c>
      <c r="E584" s="4">
        <v>0.13</v>
      </c>
      <c r="F584" s="4">
        <v>0.13106</v>
      </c>
      <c r="G584" s="3">
        <v>0.48</v>
      </c>
      <c r="H584" s="5">
        <v>129.396923</v>
      </c>
      <c r="I584" s="6">
        <v>557.7454</v>
      </c>
      <c r="J584" s="4">
        <v>70.99569</v>
      </c>
      <c r="K584" s="7">
        <v>0.7925</v>
      </c>
      <c r="L584" s="3">
        <v>5.41</v>
      </c>
      <c r="M584" s="3">
        <v>3.19</v>
      </c>
    </row>
    <row r="585" spans="1:13">
      <c r="A585" s="8" t="s">
        <v>596</v>
      </c>
      <c r="B585" s="2">
        <f>HYPERLINK("https://www.suredividend.com/sure-analysis-EPRT/","ESSENTIAL PROPERTIES REALTY TRUST, INC.")</f>
        <v>0</v>
      </c>
      <c r="C585" s="1" t="s">
        <v>1961</v>
      </c>
      <c r="D585" s="3">
        <v>30.95</v>
      </c>
      <c r="E585" s="4">
        <v>0.04006462035541195</v>
      </c>
      <c r="F585" s="4">
        <v>0.03718</v>
      </c>
      <c r="G585" s="3">
        <v>1.21</v>
      </c>
      <c r="H585" s="5">
        <v>6130.592439</v>
      </c>
      <c r="I585" s="6">
        <v>25.511</v>
      </c>
      <c r="J585" s="4">
        <v>0.934534</v>
      </c>
      <c r="K585" s="7">
        <v>0.5274</v>
      </c>
      <c r="L585" s="3">
        <v>32.37</v>
      </c>
      <c r="M585" s="3">
        <v>26.63</v>
      </c>
    </row>
    <row r="586" spans="1:13">
      <c r="A586" s="8" t="s">
        <v>597</v>
      </c>
      <c r="B586" s="2">
        <f>HYPERLINK("https://www.suredividend.com/sure-analysis-research-database/","EQUITY BANCSHARES INC")</f>
        <v>0</v>
      </c>
      <c r="C586" s="1" t="s">
        <v>1962</v>
      </c>
      <c r="D586" s="3">
        <v>48.95</v>
      </c>
      <c r="E586" s="4">
        <v>0.01</v>
      </c>
      <c r="F586" s="4">
        <v>0.00954</v>
      </c>
      <c r="G586" s="3">
        <v>0.66</v>
      </c>
      <c r="H586" s="5">
        <v>934.744188</v>
      </c>
      <c r="I586" s="6">
        <v>53.0261</v>
      </c>
      <c r="J586" s="4">
        <v>0.582369</v>
      </c>
      <c r="K586" s="7">
        <v>0.8747</v>
      </c>
      <c r="L586" s="3">
        <v>47.95</v>
      </c>
      <c r="M586" s="3">
        <v>33.7</v>
      </c>
    </row>
    <row r="587" spans="1:13">
      <c r="A587" s="8" t="s">
        <v>598</v>
      </c>
      <c r="B587" s="2">
        <f>HYPERLINK("https://www.suredividend.com/sure-analysis-research-database/","Erasca, Inc.")</f>
        <v>0</v>
      </c>
      <c r="C587" s="1" t="s">
        <v>1959</v>
      </c>
      <c r="D587" s="3">
        <v>10.405</v>
      </c>
      <c r="F587" s="4">
        <v>0</v>
      </c>
      <c r="G587" s="3">
        <v>0</v>
      </c>
      <c r="H587" s="5">
        <v>2851.30364</v>
      </c>
      <c r="J587" s="4">
        <v>0</v>
      </c>
      <c r="K587" s="7">
        <v>2.1092</v>
      </c>
      <c r="L587" s="3">
        <v>10.42</v>
      </c>
      <c r="M587" s="3">
        <v>1.01</v>
      </c>
    </row>
    <row r="588" spans="1:13">
      <c r="A588" s="8" t="s">
        <v>599</v>
      </c>
      <c r="B588" s="2">
        <f>HYPERLINK("https://www.suredividend.com/sure-analysis-research-database/","Energy Recovery, Inc.")</f>
        <v>0</v>
      </c>
      <c r="C588" s="1" t="s">
        <v>1964</v>
      </c>
      <c r="D588" s="3">
        <v>14.4</v>
      </c>
      <c r="F588" s="4">
        <v>0</v>
      </c>
      <c r="G588" s="3">
        <v>0</v>
      </c>
      <c r="H588" s="5">
        <v>763.592764</v>
      </c>
      <c r="I588" s="6">
        <v>39.1205</v>
      </c>
      <c r="J588" s="4">
        <v>0</v>
      </c>
      <c r="K588" s="7">
        <v>1.5271</v>
      </c>
      <c r="L588" s="3">
        <v>18.32</v>
      </c>
      <c r="M588" s="3">
        <v>10.86</v>
      </c>
    </row>
    <row r="589" spans="1:13">
      <c r="A589" s="8" t="s">
        <v>600</v>
      </c>
      <c r="B589" s="2">
        <f>HYPERLINK("https://www.suredividend.com/sure-analysis-research-database/","ESCALADE INC")</f>
        <v>0</v>
      </c>
      <c r="C589" s="1" t="s">
        <v>1963</v>
      </c>
      <c r="D589" s="3">
        <v>14.2</v>
      </c>
      <c r="E589" s="4">
        <v>0.04</v>
      </c>
      <c r="F589" s="4">
        <v>0.04202</v>
      </c>
      <c r="G589" s="3">
        <v>0.6</v>
      </c>
      <c r="H589" s="5">
        <v>195.875142</v>
      </c>
      <c r="I589" s="6">
        <v>15.4257</v>
      </c>
      <c r="J589" s="4">
        <v>0.65278</v>
      </c>
      <c r="K589" s="7">
        <v>0.5692</v>
      </c>
      <c r="L589" s="3">
        <v>16.29</v>
      </c>
      <c r="M589" s="3">
        <v>11.29</v>
      </c>
    </row>
    <row r="590" spans="1:13">
      <c r="A590" s="8" t="s">
        <v>601</v>
      </c>
      <c r="B590" s="2">
        <f>HYPERLINK("https://www.suredividend.com/sure-analysis-research-database/","ESCO TECHNOLOGIES INC")</f>
        <v>0</v>
      </c>
      <c r="C590" s="1" t="s">
        <v>1960</v>
      </c>
      <c r="D590" s="3">
        <v>228.5</v>
      </c>
      <c r="F590" s="4">
        <v>0.00154</v>
      </c>
      <c r="G590" s="3">
        <v>0.32</v>
      </c>
      <c r="H590" s="5">
        <v>5866.03653</v>
      </c>
      <c r="I590" s="6">
        <v>19.6042</v>
      </c>
      <c r="J590" s="4">
        <v>0.027612</v>
      </c>
      <c r="K590" s="7">
        <v>0.9409</v>
      </c>
      <c r="L590" s="3">
        <v>229.37</v>
      </c>
      <c r="M590" s="3">
        <v>128.37</v>
      </c>
    </row>
    <row r="591" spans="1:13">
      <c r="A591" s="8" t="s">
        <v>602</v>
      </c>
      <c r="B591" s="2">
        <f>HYPERLINK("https://www.suredividend.com/sure-analysis-research-database/","Enstar Group LTD")</f>
        <v>0</v>
      </c>
      <c r="C591" s="1" t="s">
        <v>1962</v>
      </c>
      <c r="D591" s="3">
        <v>337.85</v>
      </c>
      <c r="G591" s="3">
        <v>0</v>
      </c>
      <c r="H591" s="5">
        <v>5038.272567</v>
      </c>
      <c r="I591" s="6">
        <v>10.697</v>
      </c>
      <c r="J591" s="4">
        <v>0.08203100000000001</v>
      </c>
    </row>
    <row r="592" spans="1:13">
      <c r="A592" s="8" t="s">
        <v>603</v>
      </c>
      <c r="B592" s="2">
        <f>HYPERLINK("https://www.suredividend.com/sure-analysis-ESNT/","Essent Group Ltd.")</f>
        <v>0</v>
      </c>
      <c r="C592" s="1" t="s">
        <v>1962</v>
      </c>
      <c r="D592" s="3">
        <v>61.57</v>
      </c>
      <c r="E592" s="4">
        <v>0.02013967841481241</v>
      </c>
      <c r="F592" s="4">
        <v>0.01539</v>
      </c>
      <c r="G592" s="3">
        <v>0</v>
      </c>
      <c r="H592" s="5">
        <v>5950.703618</v>
      </c>
      <c r="I592" s="6">
        <v>8.466100000000001</v>
      </c>
      <c r="J592" s="4">
        <v>0.173529</v>
      </c>
      <c r="L592" s="3">
        <v>67.09</v>
      </c>
      <c r="M592" s="3">
        <v>50.83</v>
      </c>
    </row>
    <row r="593" spans="1:13">
      <c r="A593" s="8" t="s">
        <v>604</v>
      </c>
      <c r="B593" s="2">
        <f>HYPERLINK("https://www.suredividend.com/sure-analysis-research-database/","Esperion Therapeutics, Inc.")</f>
        <v>0</v>
      </c>
      <c r="C593" s="1" t="s">
        <v>1965</v>
      </c>
      <c r="D593" s="3">
        <v>3</v>
      </c>
      <c r="G593" s="3">
        <v>0</v>
      </c>
      <c r="H593" s="5">
        <v>712.409042</v>
      </c>
      <c r="J593" s="4">
        <v>0</v>
      </c>
      <c r="L593" s="3">
        <v>4.18</v>
      </c>
      <c r="M593" s="3">
        <v>0.6899999999999999</v>
      </c>
    </row>
    <row r="594" spans="1:13">
      <c r="A594" s="8" t="s">
        <v>605</v>
      </c>
      <c r="B594" s="2">
        <f>HYPERLINK("https://www.suredividend.com/sure-analysis-research-database/","Esquire Financial Holdings, Inc.")</f>
        <v>0</v>
      </c>
      <c r="C594" s="1" t="s">
        <v>1962</v>
      </c>
      <c r="D594" s="3">
        <v>109.31</v>
      </c>
      <c r="E594" s="4">
        <v>0.01</v>
      </c>
      <c r="F594" s="4">
        <v>0.00379</v>
      </c>
      <c r="G594" s="3">
        <v>0</v>
      </c>
      <c r="H594" s="5">
        <v>939.548708</v>
      </c>
      <c r="I594" s="6">
        <v>19.1327</v>
      </c>
      <c r="J594" s="4">
        <v>0.112896</v>
      </c>
      <c r="L594" s="3">
        <v>134.82</v>
      </c>
      <c r="M594" s="3">
        <v>68.52</v>
      </c>
    </row>
    <row r="595" spans="1:13">
      <c r="A595" s="8" t="s">
        <v>606</v>
      </c>
      <c r="B595" s="2">
        <f>HYPERLINK("https://www.suredividend.com/sure-analysis-research-database/","Empire State Realty Trust, Inc.")</f>
        <v>0</v>
      </c>
      <c r="C595" s="1" t="s">
        <v>1961</v>
      </c>
      <c r="D595" s="3">
        <v>6.59</v>
      </c>
      <c r="E595" s="4">
        <v>0.02</v>
      </c>
      <c r="F595" s="4">
        <v>0.02085</v>
      </c>
      <c r="G595" s="3">
        <v>0.14</v>
      </c>
      <c r="H595" s="5">
        <v>1121.573359</v>
      </c>
      <c r="I595" s="6">
        <v>32.1441</v>
      </c>
      <c r="J595" s="4">
        <v>0.722085</v>
      </c>
      <c r="K595" s="7">
        <v>0.9827</v>
      </c>
      <c r="L595" s="3">
        <v>9.699999999999999</v>
      </c>
      <c r="M595" s="3">
        <v>6.09</v>
      </c>
    </row>
    <row r="596" spans="1:13">
      <c r="A596" s="8" t="s">
        <v>607</v>
      </c>
      <c r="B596" s="2">
        <f>HYPERLINK("https://www.suredividend.com/sure-analysis-research-database/","ESSA Bancorp, Inc.")</f>
        <v>0</v>
      </c>
      <c r="C596" s="1" t="s">
        <v>1962</v>
      </c>
      <c r="D596" s="3">
        <v>20.68</v>
      </c>
      <c r="E596" s="4">
        <v>0.03</v>
      </c>
      <c r="F596" s="4">
        <v>0.02475</v>
      </c>
      <c r="G596" s="3">
        <v>0.6</v>
      </c>
      <c r="H596" s="5">
        <v>209.287625</v>
      </c>
      <c r="I596" s="6">
        <v>12.3168</v>
      </c>
      <c r="J596" s="4">
        <v>0.347516</v>
      </c>
      <c r="K596" s="7">
        <v>0.46</v>
      </c>
    </row>
    <row r="597" spans="1:13">
      <c r="A597" s="8" t="s">
        <v>608</v>
      </c>
      <c r="B597" s="2">
        <f>HYPERLINK("https://www.suredividend.com/sure-analysis-ETD/","ETHAN ALLEN INTERIORS INC")</f>
        <v>0</v>
      </c>
      <c r="C597" s="1" t="s">
        <v>1959</v>
      </c>
      <c r="D597" s="3">
        <v>25</v>
      </c>
      <c r="E597" s="4">
        <v>0.0624</v>
      </c>
      <c r="F597" s="4">
        <v>0.07020999999999999</v>
      </c>
      <c r="G597" s="3">
        <v>1.81</v>
      </c>
      <c r="H597" s="5">
        <v>635.140621</v>
      </c>
      <c r="I597" s="6">
        <v>13.42</v>
      </c>
      <c r="J597" s="4">
        <v>0.9774969999999999</v>
      </c>
      <c r="K597" s="7">
        <v>0.7541</v>
      </c>
      <c r="L597" s="3">
        <v>30.89</v>
      </c>
      <c r="M597" s="3">
        <v>21.67</v>
      </c>
    </row>
    <row r="598" spans="1:13">
      <c r="A598" s="8" t="s">
        <v>609</v>
      </c>
      <c r="B598" s="2">
        <f>HYPERLINK("https://www.suredividend.com/sure-analysis-research-database/","89bio, Inc.")</f>
        <v>0</v>
      </c>
      <c r="C598" s="1" t="s">
        <v>1965</v>
      </c>
      <c r="D598" s="3">
        <v>14.96</v>
      </c>
      <c r="F598" s="4">
        <v>0</v>
      </c>
      <c r="G598" s="3">
        <v>0</v>
      </c>
      <c r="H598" s="5">
        <v>2200.89443</v>
      </c>
      <c r="J598" s="4">
        <v>0</v>
      </c>
      <c r="K598" s="7">
        <v>1.4845</v>
      </c>
    </row>
    <row r="599" spans="1:13">
      <c r="A599" s="8" t="s">
        <v>610</v>
      </c>
      <c r="B599" s="2">
        <f>HYPERLINK("https://www.suredividend.com/sure-analysis-research-database/","E2open Parent Holdings, Inc.")</f>
        <v>0</v>
      </c>
      <c r="C599" s="1" t="s">
        <v>1959</v>
      </c>
      <c r="D599" s="3">
        <v>3.31</v>
      </c>
      <c r="F599" s="4">
        <v>0</v>
      </c>
      <c r="G599" s="3">
        <v>0</v>
      </c>
      <c r="H599" s="5">
        <v>1032.450494</v>
      </c>
      <c r="J599" s="4">
        <v>0</v>
      </c>
      <c r="K599" s="7">
        <v>1.5959</v>
      </c>
    </row>
    <row r="600" spans="1:13">
      <c r="A600" s="8" t="s">
        <v>611</v>
      </c>
      <c r="B600" s="2">
        <f>HYPERLINK("https://www.suredividend.com/sure-analysis-research-database/","enCore Energy Corp.")</f>
        <v>0</v>
      </c>
      <c r="C600" s="1" t="s">
        <v>1959</v>
      </c>
      <c r="D600" s="3">
        <v>3.37</v>
      </c>
      <c r="F600" s="4">
        <v>0</v>
      </c>
      <c r="G600" s="3">
        <v>0</v>
      </c>
      <c r="H600" s="5">
        <v>610.433481</v>
      </c>
      <c r="J600" s="4">
        <v>0</v>
      </c>
      <c r="K600" s="7">
        <v>10.3993</v>
      </c>
      <c r="L600" s="3">
        <v>4.19</v>
      </c>
      <c r="M600" s="3">
        <v>1.01</v>
      </c>
    </row>
    <row r="601" spans="1:13">
      <c r="A601" s="8" t="s">
        <v>612</v>
      </c>
      <c r="B601" s="2">
        <f>HYPERLINK("https://www.suredividend.com/sure-analysis-research-database/","ENTRAVISION COMMUNICATIONS CORP")</f>
        <v>0</v>
      </c>
      <c r="C601" s="1" t="s">
        <v>1968</v>
      </c>
      <c r="D601" s="3">
        <v>3.24</v>
      </c>
      <c r="E601" s="4">
        <v>0.06</v>
      </c>
      <c r="F601" s="4">
        <v>0.05316</v>
      </c>
      <c r="G601" s="3">
        <v>0.2</v>
      </c>
      <c r="H601" s="5">
        <v>295.672936</v>
      </c>
      <c r="K601" s="7">
        <v>0.8471</v>
      </c>
      <c r="L601" s="3">
        <v>3.39</v>
      </c>
      <c r="M601" s="3">
        <v>1.45</v>
      </c>
    </row>
    <row r="602" spans="1:13">
      <c r="A602" s="8" t="s">
        <v>613</v>
      </c>
      <c r="B602" s="2">
        <f>HYPERLINK("https://www.suredividend.com/sure-analysis-research-database/","EverCommerce Inc.")</f>
        <v>0</v>
      </c>
      <c r="C602" s="1" t="s">
        <v>1959</v>
      </c>
      <c r="D602" s="3">
        <v>12.36</v>
      </c>
      <c r="F602" s="4">
        <v>0</v>
      </c>
      <c r="G602" s="3">
        <v>0</v>
      </c>
      <c r="H602" s="5">
        <v>2220.568152</v>
      </c>
      <c r="J602" s="4">
        <v>0</v>
      </c>
      <c r="K602" s="7">
        <v>1.194</v>
      </c>
      <c r="L602" s="3">
        <v>14.41</v>
      </c>
      <c r="M602" s="3">
        <v>7.66</v>
      </c>
    </row>
    <row r="603" spans="1:13">
      <c r="A603" s="8" t="s">
        <v>614</v>
      </c>
      <c r="B603" s="2">
        <f>HYPERLINK("https://www.suredividend.com/sure-analysis-research-database/","EverQuote, Inc.")</f>
        <v>0</v>
      </c>
      <c r="C603" s="1" t="s">
        <v>1968</v>
      </c>
      <c r="D603" s="3">
        <v>24.07</v>
      </c>
      <c r="F603" s="4">
        <v>0</v>
      </c>
      <c r="G603" s="3">
        <v>0</v>
      </c>
      <c r="H603" s="5">
        <v>866.178137</v>
      </c>
      <c r="I603" s="6">
        <v>16.0814</v>
      </c>
      <c r="J603" s="4">
        <v>0</v>
      </c>
      <c r="K603" s="7">
        <v>1.0056</v>
      </c>
      <c r="L603" s="3">
        <v>30.03</v>
      </c>
      <c r="M603" s="3">
        <v>17.35</v>
      </c>
    </row>
    <row r="604" spans="1:13">
      <c r="A604" s="8" t="s">
        <v>615</v>
      </c>
      <c r="B604" s="2">
        <f>HYPERLINK("https://www.suredividend.com/sure-analysis-research-database/","Eve Holding, Inc.")</f>
        <v>0</v>
      </c>
      <c r="C604" s="1" t="s">
        <v>1959</v>
      </c>
      <c r="D604" s="3">
        <v>4.49</v>
      </c>
      <c r="F604" s="4">
        <v>0</v>
      </c>
      <c r="G604" s="3">
        <v>0</v>
      </c>
      <c r="H604" s="5">
        <v>1560.404536</v>
      </c>
      <c r="J604" s="4">
        <v>0</v>
      </c>
      <c r="K604" s="7">
        <v>1.5576</v>
      </c>
      <c r="L604" s="3">
        <v>7.7</v>
      </c>
      <c r="M604" s="3">
        <v>2.83</v>
      </c>
    </row>
    <row r="605" spans="1:13">
      <c r="A605" s="8" t="s">
        <v>616</v>
      </c>
      <c r="B605" s="2">
        <f>HYPERLINK("https://www.suredividend.com/sure-analysis-research-database/","EVgo Inc.")</f>
        <v>0</v>
      </c>
      <c r="C605" s="1" t="s">
        <v>1959</v>
      </c>
      <c r="D605" s="3">
        <v>3.105</v>
      </c>
      <c r="F605" s="4">
        <v>0</v>
      </c>
      <c r="G605" s="3">
        <v>0</v>
      </c>
      <c r="H605" s="5">
        <v>951.666645</v>
      </c>
      <c r="J605" s="4">
        <v>0</v>
      </c>
      <c r="K605" s="7">
        <v>1.9136</v>
      </c>
      <c r="L605" s="3">
        <v>5.18</v>
      </c>
      <c r="M605" s="3">
        <v>2.2</v>
      </c>
    </row>
    <row r="606" spans="1:13">
      <c r="A606" s="8" t="s">
        <v>617</v>
      </c>
      <c r="B606" s="2">
        <f>HYPERLINK("https://www.suredividend.com/sure-analysis-research-database/","Evolent Health, Inc.")</f>
        <v>0</v>
      </c>
      <c r="C606" s="1" t="s">
        <v>1965</v>
      </c>
      <c r="D606" s="3">
        <v>3.81</v>
      </c>
      <c r="F606" s="4">
        <v>0</v>
      </c>
      <c r="G606" s="3">
        <v>0</v>
      </c>
      <c r="H606" s="5">
        <v>424.083253</v>
      </c>
      <c r="K606" s="7">
        <v>0.354</v>
      </c>
      <c r="L606" s="3">
        <v>12.07</v>
      </c>
      <c r="M606" s="3">
        <v>3.5</v>
      </c>
    </row>
    <row r="607" spans="1:13">
      <c r="A607" s="8" t="s">
        <v>618</v>
      </c>
      <c r="B607" s="2">
        <f>HYPERLINK("https://www.suredividend.com/sure-analysis-research-database/","EVI INDUSTRIES, INC.")</f>
        <v>0</v>
      </c>
      <c r="C607" s="1" t="s">
        <v>1964</v>
      </c>
      <c r="D607" s="3">
        <v>25.53</v>
      </c>
      <c r="E607" s="4">
        <v>0.01</v>
      </c>
      <c r="F607" s="4">
        <v>0.00758</v>
      </c>
      <c r="G607" s="3">
        <v>0.33</v>
      </c>
      <c r="J607" s="4">
        <v>0</v>
      </c>
      <c r="K607" s="7">
        <v>0.8421</v>
      </c>
      <c r="L607" s="3">
        <v>34.48</v>
      </c>
      <c r="M607" s="3">
        <v>14.85</v>
      </c>
    </row>
    <row r="608" spans="1:13">
      <c r="A608" s="8" t="s">
        <v>619</v>
      </c>
      <c r="B608" s="2">
        <f>HYPERLINK("https://www.suredividend.com/sure-analysis-research-database/","Evolv Technologies Holdings, Inc.")</f>
        <v>0</v>
      </c>
      <c r="C608" s="1" t="s">
        <v>1959</v>
      </c>
      <c r="D608" s="3">
        <v>6.17</v>
      </c>
      <c r="F608" s="4">
        <v>0</v>
      </c>
      <c r="G608" s="3">
        <v>0</v>
      </c>
      <c r="H608" s="5">
        <v>1075.644348</v>
      </c>
      <c r="J608" s="4">
        <v>0</v>
      </c>
      <c r="K608" s="7">
        <v>2.3853</v>
      </c>
      <c r="L608" s="3">
        <v>8.91</v>
      </c>
      <c r="M608" s="3">
        <v>2.64</v>
      </c>
    </row>
    <row r="609" spans="1:13">
      <c r="A609" s="8" t="s">
        <v>620</v>
      </c>
      <c r="B609" s="2">
        <f>HYPERLINK("https://www.suredividend.com/sure-analysis-research-database/","Everi Holdings Inc.")</f>
        <v>0</v>
      </c>
      <c r="C609" s="1" t="s">
        <v>1963</v>
      </c>
      <c r="D609" s="3">
        <v>14.25</v>
      </c>
      <c r="F609" s="4">
        <v>0</v>
      </c>
      <c r="G609" s="3">
        <v>0</v>
      </c>
      <c r="H609" s="5">
        <v>1236.833043</v>
      </c>
      <c r="I609" s="6">
        <v>85.9807</v>
      </c>
      <c r="J609" s="4">
        <v>0</v>
      </c>
      <c r="K609" s="7">
        <v>0.63</v>
      </c>
    </row>
    <row r="610" spans="1:13">
      <c r="A610" s="8" t="s">
        <v>621</v>
      </c>
      <c r="B610" s="2">
        <f>HYPERLINK("https://www.suredividend.com/sure-analysis-research-database/","EVERTEC, Inc.")</f>
        <v>0</v>
      </c>
      <c r="C610" s="1" t="s">
        <v>1960</v>
      </c>
      <c r="D610" s="3">
        <v>29.41</v>
      </c>
      <c r="E610" s="4">
        <v>0.01</v>
      </c>
      <c r="F610" s="4">
        <v>0.00677</v>
      </c>
      <c r="G610" s="3">
        <v>0.2</v>
      </c>
      <c r="H610" s="5">
        <v>1882.404602</v>
      </c>
      <c r="I610" s="6">
        <v>12.8852</v>
      </c>
      <c r="J610" s="4">
        <v>0.08612499999999999</v>
      </c>
      <c r="L610" s="3">
        <v>38.44</v>
      </c>
      <c r="M610" s="3">
        <v>26.72</v>
      </c>
    </row>
    <row r="611" spans="1:13">
      <c r="A611" s="8" t="s">
        <v>622</v>
      </c>
      <c r="B611" s="2">
        <f>HYPERLINK("https://www.suredividend.com/sure-analysis-research-database/","European Wax Center, Inc.")</f>
        <v>0</v>
      </c>
      <c r="C611" s="1" t="s">
        <v>1959</v>
      </c>
      <c r="D611" s="3">
        <v>3.96</v>
      </c>
      <c r="F611" s="4">
        <v>0.16377</v>
      </c>
      <c r="G611" s="3">
        <v>0</v>
      </c>
      <c r="H611" s="5">
        <v>214.179665</v>
      </c>
      <c r="L611" s="3">
        <v>7.6</v>
      </c>
      <c r="M611" s="3">
        <v>2.72</v>
      </c>
    </row>
    <row r="612" spans="1:13">
      <c r="A612" s="8" t="s">
        <v>623</v>
      </c>
      <c r="B612" s="2">
        <f>HYPERLINK("https://www.suredividend.com/sure-analysis-research-database/","Edgewise Therapeutics, Inc.")</f>
        <v>0</v>
      </c>
      <c r="C612" s="1" t="s">
        <v>1959</v>
      </c>
      <c r="D612" s="3">
        <v>29.27</v>
      </c>
      <c r="G612" s="3">
        <v>0</v>
      </c>
      <c r="H612" s="5">
        <v>3095.59301</v>
      </c>
      <c r="J612" s="4">
        <v>0</v>
      </c>
      <c r="L612" s="3">
        <v>30.48</v>
      </c>
      <c r="M612" s="3">
        <v>10.6</v>
      </c>
    </row>
    <row r="613" spans="1:13">
      <c r="A613" s="8" t="s">
        <v>624</v>
      </c>
      <c r="B613" s="2">
        <f>HYPERLINK("https://www.suredividend.com/sure-analysis-research-database/","ExlService Holdings, Inc.")</f>
        <v>0</v>
      </c>
      <c r="C613" s="1" t="s">
        <v>1960</v>
      </c>
      <c r="D613" s="3">
        <v>42.32</v>
      </c>
      <c r="G613" s="3">
        <v>0</v>
      </c>
      <c r="H613" s="5">
        <v>6716.221453</v>
      </c>
      <c r="I613" s="6">
        <v>27.8168</v>
      </c>
      <c r="J613" s="4">
        <v>0</v>
      </c>
      <c r="L613" s="3">
        <v>52.43</v>
      </c>
      <c r="M613" s="3">
        <v>37.3</v>
      </c>
    </row>
    <row r="614" spans="1:13">
      <c r="A614" s="8" t="s">
        <v>625</v>
      </c>
      <c r="B614" s="2">
        <f>HYPERLINK("https://www.suredividend.com/sure-analysis-research-database/","EXP World Holdings, Inc.")</f>
        <v>0</v>
      </c>
      <c r="C614" s="1" t="s">
        <v>1961</v>
      </c>
      <c r="D614" s="3">
        <v>9.31</v>
      </c>
      <c r="E614" s="4">
        <v>0.02</v>
      </c>
      <c r="F614" s="4">
        <v>0.01877</v>
      </c>
      <c r="G614" s="3">
        <v>0.2</v>
      </c>
      <c r="H614" s="5">
        <v>1477.181533</v>
      </c>
      <c r="K614" s="7">
        <v>1.1881</v>
      </c>
      <c r="L614" s="3">
        <v>12.23</v>
      </c>
      <c r="M614" s="3">
        <v>6.79</v>
      </c>
    </row>
    <row r="615" spans="1:13">
      <c r="A615" s="8" t="s">
        <v>626</v>
      </c>
      <c r="B615" s="2">
        <f>HYPERLINK("https://www.suredividend.com/sure-analysis-EXPO/","EXPONENT INC")</f>
        <v>0</v>
      </c>
      <c r="C615" s="1" t="s">
        <v>1964</v>
      </c>
      <c r="D615" s="3">
        <v>74.94</v>
      </c>
      <c r="E615" s="4">
        <v>0.01601281024819856</v>
      </c>
      <c r="F615" s="4">
        <v>0.01394</v>
      </c>
      <c r="G615" s="3">
        <v>1.2</v>
      </c>
      <c r="H615" s="5">
        <v>3738.049844</v>
      </c>
      <c r="I615" s="6">
        <v>35.6562</v>
      </c>
      <c r="J615" s="4">
        <v>0.580697</v>
      </c>
      <c r="K615" s="7">
        <v>0.9709</v>
      </c>
      <c r="L615" s="3">
        <v>96.05</v>
      </c>
      <c r="M615" s="3">
        <v>63.29</v>
      </c>
    </row>
    <row r="616" spans="1:13">
      <c r="A616" s="8" t="s">
        <v>627</v>
      </c>
      <c r="B616" s="2">
        <f>HYPERLINK("https://www.suredividend.com/sure-analysis-research-database/","EXTREME NETWORKS INC")</f>
        <v>0</v>
      </c>
      <c r="C616" s="1" t="s">
        <v>1960</v>
      </c>
      <c r="D616" s="3">
        <v>15.105</v>
      </c>
      <c r="F616" s="4">
        <v>0</v>
      </c>
      <c r="G616" s="3">
        <v>0</v>
      </c>
      <c r="H616" s="5">
        <v>2020.486218</v>
      </c>
      <c r="I616" s="6">
        <v>233.6362</v>
      </c>
      <c r="J616" s="4">
        <v>0</v>
      </c>
      <c r="K616" s="7">
        <v>1.3935</v>
      </c>
      <c r="L616" s="3">
        <v>22.89</v>
      </c>
      <c r="M616" s="3">
        <v>10.1</v>
      </c>
    </row>
    <row r="617" spans="1:13">
      <c r="A617" s="8" t="s">
        <v>628</v>
      </c>
      <c r="B617" s="2">
        <f>HYPERLINK("https://www.suredividend.com/sure-analysis-research-database/","National Vision Holdings, Inc.")</f>
        <v>0</v>
      </c>
      <c r="C617" s="1" t="s">
        <v>1963</v>
      </c>
      <c r="D617" s="3">
        <v>27.17</v>
      </c>
      <c r="F617" s="4">
        <v>0</v>
      </c>
      <c r="G617" s="3">
        <v>0</v>
      </c>
      <c r="H617" s="5">
        <v>2158.013073</v>
      </c>
      <c r="J617" s="4">
        <v>0</v>
      </c>
      <c r="K617" s="7">
        <v>0.9428</v>
      </c>
      <c r="L617" s="3">
        <v>30.02</v>
      </c>
      <c r="M617" s="3">
        <v>10.45</v>
      </c>
    </row>
    <row r="618" spans="1:13">
      <c r="A618" s="8" t="s">
        <v>629</v>
      </c>
      <c r="B618" s="2">
        <f>HYPERLINK("https://www.suredividend.com/sure-analysis-research-database/","EyePoint Pharmaceuticals, Inc.")</f>
        <v>0</v>
      </c>
      <c r="C618" s="1" t="s">
        <v>1965</v>
      </c>
      <c r="D618" s="3">
        <v>15.34</v>
      </c>
      <c r="F618" s="4">
        <v>0</v>
      </c>
      <c r="G618" s="3">
        <v>0</v>
      </c>
      <c r="H618" s="5">
        <v>1285.685527</v>
      </c>
      <c r="J618" s="4">
        <v>0</v>
      </c>
      <c r="K618" s="7">
        <v>2.4984</v>
      </c>
      <c r="L618" s="3">
        <v>19.11</v>
      </c>
      <c r="M618" s="3">
        <v>3.91</v>
      </c>
    </row>
    <row r="619" spans="1:13">
      <c r="A619" s="8" t="s">
        <v>630</v>
      </c>
      <c r="B619" s="2">
        <f>HYPERLINK("https://www.suredividend.com/sure-analysis-research-database/","FIRST ADVANTAGE CORP")</f>
        <v>0</v>
      </c>
      <c r="C619" s="1" t="s">
        <v>1959</v>
      </c>
      <c r="D619" s="3">
        <v>14.33</v>
      </c>
      <c r="F619" s="4">
        <v>0.01972</v>
      </c>
      <c r="G619" s="3">
        <v>1.5</v>
      </c>
      <c r="H619" s="5">
        <v>2495.067348</v>
      </c>
      <c r="K619" s="7">
        <v>1.0988</v>
      </c>
      <c r="L619" s="3">
        <v>20.28</v>
      </c>
      <c r="M619" s="3">
        <v>11.95</v>
      </c>
    </row>
    <row r="620" spans="1:13">
      <c r="A620" s="8" t="s">
        <v>631</v>
      </c>
      <c r="B620" s="2">
        <f>HYPERLINK("https://www.suredividend.com/sure-analysis-research-database/","FARO TECHNOLOGIES INC")</f>
        <v>0</v>
      </c>
      <c r="C620" s="1" t="s">
        <v>1960</v>
      </c>
      <c r="D620" s="3">
        <v>43.995</v>
      </c>
      <c r="F620" s="4">
        <v>0</v>
      </c>
      <c r="G620" s="3">
        <v>0</v>
      </c>
      <c r="H620" s="5">
        <v>845.762298</v>
      </c>
      <c r="J620" s="4">
        <v>0</v>
      </c>
      <c r="K620" s="7">
        <v>2.0617</v>
      </c>
    </row>
    <row r="621" spans="1:13">
      <c r="A621" s="8" t="s">
        <v>632</v>
      </c>
      <c r="B621" s="2">
        <f>HYPERLINK("https://www.suredividend.com/sure-analysis-research-database/","FATE THERAPEUTICS INC")</f>
        <v>0</v>
      </c>
      <c r="C621" s="1" t="s">
        <v>1965</v>
      </c>
      <c r="D621" s="3">
        <v>1.18</v>
      </c>
      <c r="F621" s="4">
        <v>0</v>
      </c>
      <c r="G621" s="3">
        <v>0</v>
      </c>
      <c r="H621" s="5">
        <v>136.115701</v>
      </c>
      <c r="J621" s="4">
        <v>0</v>
      </c>
      <c r="K621" s="7">
        <v>2.6426</v>
      </c>
      <c r="L621" s="3">
        <v>1.94</v>
      </c>
      <c r="M621" s="3">
        <v>0.66</v>
      </c>
    </row>
    <row r="622" spans="1:13">
      <c r="A622" s="8" t="s">
        <v>633</v>
      </c>
      <c r="B622" s="2">
        <f>HYPERLINK("https://www.suredividend.com/sure-analysis-FBIZ/","FIRST BUSINESS FINANCIAL SERVICES, INC.")</f>
        <v>0</v>
      </c>
      <c r="C622" s="1" t="s">
        <v>1962</v>
      </c>
      <c r="D622" s="3">
        <v>58.58</v>
      </c>
      <c r="E622" s="4">
        <v>0.0198019801980198</v>
      </c>
      <c r="F622" s="4">
        <v>0.01691</v>
      </c>
      <c r="G622" s="3">
        <v>1.16</v>
      </c>
      <c r="H622" s="5">
        <v>489.383128</v>
      </c>
      <c r="I622" s="6">
        <v>9.6858</v>
      </c>
      <c r="J622" s="4">
        <v>0.198907</v>
      </c>
      <c r="K622" s="7">
        <v>0.9152</v>
      </c>
      <c r="L622" s="3">
        <v>58.79</v>
      </c>
      <c r="M622" s="3">
        <v>41.43</v>
      </c>
    </row>
    <row r="623" spans="1:13">
      <c r="A623" s="8" t="s">
        <v>634</v>
      </c>
      <c r="B623" s="2">
        <f>HYPERLINK("https://www.suredividend.com/sure-analysis-FBK/","FB Financial Corp")</f>
        <v>0</v>
      </c>
      <c r="C623" s="1" t="s">
        <v>1962</v>
      </c>
      <c r="D623" s="3">
        <v>61.62</v>
      </c>
      <c r="E623" s="4">
        <v>0.01233365790327816</v>
      </c>
      <c r="F623" s="4">
        <v>0.01047</v>
      </c>
      <c r="G623" s="3">
        <v>0.76</v>
      </c>
      <c r="H623" s="5">
        <v>3294.358141</v>
      </c>
      <c r="I623" s="6">
        <v>31.82</v>
      </c>
      <c r="J623" s="4">
        <v>0.344404</v>
      </c>
      <c r="K623" s="7">
        <v>1.1009</v>
      </c>
      <c r="L623" s="3">
        <v>60.8</v>
      </c>
      <c r="M623" s="3">
        <v>38.38</v>
      </c>
    </row>
    <row r="624" spans="1:13">
      <c r="A624" s="8" t="s">
        <v>635</v>
      </c>
      <c r="B624" s="2">
        <f>HYPERLINK("https://www.suredividend.com/sure-analysis-research-database/","FibroBiologics, Inc.")</f>
        <v>0</v>
      </c>
      <c r="C624" s="1" t="s">
        <v>1959</v>
      </c>
      <c r="D624" s="3">
        <v>0.3422</v>
      </c>
      <c r="F624" s="4">
        <v>0</v>
      </c>
      <c r="G624" s="3">
        <v>0</v>
      </c>
      <c r="H624" s="5">
        <v>16.800409</v>
      </c>
      <c r="J624" s="4">
        <v>0</v>
      </c>
      <c r="K624" s="7">
        <v>0.7312</v>
      </c>
      <c r="L624" s="3">
        <v>2</v>
      </c>
      <c r="M624" s="3">
        <v>0.22</v>
      </c>
    </row>
    <row r="625" spans="1:13">
      <c r="A625" s="8" t="s">
        <v>636</v>
      </c>
      <c r="B625" s="2">
        <f>HYPERLINK("https://www.suredividend.com/sure-analysis-research-database/","FIRST BANCORP /NC/")</f>
        <v>0</v>
      </c>
      <c r="C625" s="1" t="s">
        <v>1962</v>
      </c>
      <c r="D625" s="3">
        <v>60.53</v>
      </c>
      <c r="E625" s="4">
        <v>0.02</v>
      </c>
      <c r="F625" s="4">
        <v>0.01656</v>
      </c>
      <c r="G625" s="3">
        <v>0.91</v>
      </c>
      <c r="H625" s="5">
        <v>2508.652405</v>
      </c>
      <c r="I625" s="6">
        <v>25.3691</v>
      </c>
      <c r="J625" s="4">
        <v>0.37257</v>
      </c>
      <c r="K625" s="7">
        <v>1.0388</v>
      </c>
      <c r="L625" s="3">
        <v>58.79</v>
      </c>
      <c r="M625" s="3">
        <v>34.02</v>
      </c>
    </row>
    <row r="626" spans="1:13">
      <c r="A626" s="8" t="s">
        <v>637</v>
      </c>
      <c r="B626" s="2">
        <f>HYPERLINK("https://www.suredividend.com/sure-analysis-FBP/","FIRST BANCORP /PR/")</f>
        <v>0</v>
      </c>
      <c r="C626" s="1" t="s">
        <v>1962</v>
      </c>
      <c r="D626" s="3">
        <v>22.085</v>
      </c>
      <c r="E626" s="4">
        <v>0.03260131310844464</v>
      </c>
      <c r="F626" s="4">
        <v>0.02549</v>
      </c>
      <c r="G626" s="3">
        <v>0.72</v>
      </c>
      <c r="H626" s="5">
        <v>3487.24726</v>
      </c>
      <c r="I626" s="6">
        <v>10.4576</v>
      </c>
      <c r="J626" s="4">
        <v>0.340586</v>
      </c>
      <c r="K626" s="7">
        <v>0.976</v>
      </c>
      <c r="L626" s="3">
        <v>22.36</v>
      </c>
      <c r="M626" s="3">
        <v>15.98</v>
      </c>
    </row>
    <row r="627" spans="1:13">
      <c r="A627" s="8" t="s">
        <v>638</v>
      </c>
      <c r="B627" s="2">
        <f>HYPERLINK("https://www.suredividend.com/sure-analysis-research-database/","Franklin BSP Realty Trust, Inc.")</f>
        <v>0</v>
      </c>
      <c r="C627" s="1" t="s">
        <v>1959</v>
      </c>
      <c r="D627" s="3">
        <v>10.33</v>
      </c>
      <c r="E627" s="4">
        <v>0.14</v>
      </c>
      <c r="F627" s="4">
        <v>0.12248</v>
      </c>
      <c r="G627" s="3">
        <v>1.42</v>
      </c>
      <c r="H627" s="5">
        <v>843.812327</v>
      </c>
      <c r="I627" s="6">
        <v>8.2857</v>
      </c>
      <c r="J627" s="4">
        <v>1.545993</v>
      </c>
      <c r="K627" s="7">
        <v>0.6284999999999999</v>
      </c>
      <c r="L627" s="3">
        <v>11.96</v>
      </c>
      <c r="M627" s="3">
        <v>9.16</v>
      </c>
    </row>
    <row r="628" spans="1:13">
      <c r="A628" s="8" t="s">
        <v>639</v>
      </c>
      <c r="B628" s="2">
        <f>HYPERLINK("https://www.suredividend.com/sure-analysis-research-database/","FRANKLIN COVEY CO")</f>
        <v>0</v>
      </c>
      <c r="C628" s="1" t="s">
        <v>1964</v>
      </c>
      <c r="D628" s="3">
        <v>21</v>
      </c>
      <c r="F628" s="4">
        <v>0</v>
      </c>
      <c r="G628" s="3">
        <v>0</v>
      </c>
      <c r="H628" s="5">
        <v>242.488066</v>
      </c>
      <c r="I628" s="6">
        <v>15.7154</v>
      </c>
      <c r="J628" s="4">
        <v>0</v>
      </c>
      <c r="K628" s="7">
        <v>1.0405</v>
      </c>
      <c r="L628" s="3">
        <v>39.22</v>
      </c>
      <c r="M628" s="3">
        <v>14.04</v>
      </c>
    </row>
    <row r="629" spans="1:13">
      <c r="A629" s="8" t="s">
        <v>640</v>
      </c>
      <c r="B629" s="2">
        <f>HYPERLINK("https://www.suredividend.com/sure-analysis-FCBC/","FIRST COMMUNITY BANKSHARES INC /VA/")</f>
        <v>0</v>
      </c>
      <c r="C629" s="1" t="s">
        <v>1962</v>
      </c>
      <c r="D629" s="3">
        <v>35.6</v>
      </c>
      <c r="E629" s="4">
        <v>0.0348314606741573</v>
      </c>
      <c r="F629" s="4">
        <v>0.05417</v>
      </c>
      <c r="G629" s="3">
        <v>4.31</v>
      </c>
      <c r="H629" s="5">
        <v>651.461171</v>
      </c>
      <c r="I629" s="6">
        <v>13.1955</v>
      </c>
      <c r="J629" s="4">
        <v>1.227365</v>
      </c>
      <c r="K629" s="7">
        <v>0.7075</v>
      </c>
      <c r="L629" s="3">
        <v>42.57</v>
      </c>
      <c r="M629" s="3">
        <v>30.29</v>
      </c>
    </row>
    <row r="630" spans="1:13">
      <c r="A630" s="8" t="s">
        <v>641</v>
      </c>
      <c r="B630" s="2">
        <f>HYPERLINK("https://www.suredividend.com/sure-analysis-research-database/","FUELCELL ENERGY INC")</f>
        <v>0</v>
      </c>
      <c r="C630" s="1" t="s">
        <v>1964</v>
      </c>
      <c r="D630" s="3">
        <v>9.48</v>
      </c>
      <c r="F630" s="4">
        <v>0</v>
      </c>
      <c r="G630" s="3">
        <v>0</v>
      </c>
      <c r="H630" s="5">
        <v>446.338463</v>
      </c>
      <c r="K630" s="7">
        <v>1.3612</v>
      </c>
      <c r="L630" s="3">
        <v>11.99</v>
      </c>
      <c r="M630" s="3">
        <v>3.58</v>
      </c>
    </row>
    <row r="631" spans="1:13">
      <c r="A631" s="8" t="s">
        <v>642</v>
      </c>
      <c r="B631" s="2">
        <f>HYPERLINK("https://www.suredividend.com/sure-analysis-FCF/","FIRST COMMONWEALTH FINANCIAL CORP /PA/")</f>
        <v>0</v>
      </c>
      <c r="C631" s="1" t="s">
        <v>1962</v>
      </c>
      <c r="D631" s="3">
        <v>18.17</v>
      </c>
      <c r="E631" s="4">
        <v>0.02971931755641167</v>
      </c>
      <c r="F631" s="4">
        <v>0.02895</v>
      </c>
      <c r="G631" s="3">
        <v>0</v>
      </c>
      <c r="H631" s="5">
        <v>1879.202025</v>
      </c>
      <c r="I631" s="6">
        <v>12.7807</v>
      </c>
      <c r="J631" s="4">
        <v>0.381902</v>
      </c>
      <c r="L631" s="3">
        <v>18.12</v>
      </c>
      <c r="M631" s="3">
        <v>13.2</v>
      </c>
    </row>
    <row r="632" spans="1:13">
      <c r="A632" s="8" t="s">
        <v>643</v>
      </c>
      <c r="B632" s="2">
        <f>HYPERLINK("https://www.suredividend.com/sure-analysis-FCFS/","FirstCash Holdings, Inc.")</f>
        <v>0</v>
      </c>
      <c r="C632" s="1" t="s">
        <v>1962</v>
      </c>
      <c r="D632" s="3">
        <v>171.81</v>
      </c>
      <c r="E632" s="4">
        <v>0.009778243408416274</v>
      </c>
      <c r="F632" s="4">
        <v>0.00686</v>
      </c>
      <c r="G632" s="3">
        <v>0</v>
      </c>
      <c r="H632" s="5">
        <v>7584.012336</v>
      </c>
      <c r="I632" s="6">
        <v>24.4843</v>
      </c>
      <c r="J632" s="4">
        <v>0.224184</v>
      </c>
      <c r="L632" s="3">
        <v>173.55</v>
      </c>
      <c r="M632" s="3">
        <v>105.51</v>
      </c>
    </row>
    <row r="633" spans="1:13">
      <c r="A633" s="8" t="s">
        <v>644</v>
      </c>
      <c r="B633" s="2">
        <f>HYPERLINK("https://www.suredividend.com/sure-analysis-FCPT/","Four Corners Property Trust, Inc.")</f>
        <v>0</v>
      </c>
      <c r="C633" s="1" t="s">
        <v>1961</v>
      </c>
      <c r="D633" s="3">
        <v>24.6</v>
      </c>
      <c r="E633" s="4">
        <v>0.058130081300813</v>
      </c>
      <c r="F633" s="4">
        <v>0.05797</v>
      </c>
      <c r="G633" s="3">
        <v>0</v>
      </c>
      <c r="H633" s="5">
        <v>2609.61752</v>
      </c>
      <c r="I633" s="6">
        <v>23.9193</v>
      </c>
      <c r="J633" s="4">
        <v>1.283552</v>
      </c>
    </row>
    <row r="634" spans="1:13">
      <c r="A634" s="8" t="s">
        <v>645</v>
      </c>
      <c r="B634" s="2">
        <f>HYPERLINK("https://www.suredividend.com/sure-analysis-FDBC/","FIDELITY D &amp; D BANCORP INC")</f>
        <v>0</v>
      </c>
      <c r="C634" s="1" t="s">
        <v>1962</v>
      </c>
      <c r="D634" s="3">
        <v>45.98</v>
      </c>
      <c r="E634" s="4">
        <v>0.03740756850804698</v>
      </c>
      <c r="F634" s="4">
        <v>0.03386</v>
      </c>
      <c r="G634" s="3">
        <v>0</v>
      </c>
      <c r="H634" s="5">
        <v>265.122137</v>
      </c>
      <c r="I634" s="6">
        <v>10.1607</v>
      </c>
      <c r="J634" s="4">
        <v>0.357107</v>
      </c>
    </row>
    <row r="635" spans="1:13">
      <c r="A635" s="8" t="s">
        <v>646</v>
      </c>
      <c r="B635" s="2">
        <f>HYPERLINK("https://www.suredividend.com/sure-analysis-research-database/","4D Molecular Therapeutics, Inc.")</f>
        <v>0</v>
      </c>
      <c r="C635" s="1" t="s">
        <v>1959</v>
      </c>
      <c r="D635" s="3">
        <v>7.84</v>
      </c>
      <c r="G635" s="3">
        <v>0</v>
      </c>
      <c r="H635" s="5">
        <v>520.220995</v>
      </c>
      <c r="J635" s="4">
        <v>0</v>
      </c>
      <c r="K635" s="7">
        <v>1.308</v>
      </c>
      <c r="L635" s="3">
        <v>12.34</v>
      </c>
      <c r="M635" s="3">
        <v>2.24</v>
      </c>
    </row>
    <row r="636" spans="1:13">
      <c r="A636" s="8" t="s">
        <v>647</v>
      </c>
      <c r="B636" s="2">
        <f>HYPERLINK("https://www.suredividend.com/sure-analysis-FDP/","FRESH DEL MONTE PRODUCE INC")</f>
        <v>0</v>
      </c>
      <c r="C636" s="1" t="s">
        <v>1966</v>
      </c>
      <c r="D636" s="3">
        <v>37.64</v>
      </c>
      <c r="E636" s="4">
        <v>0.03188097768331562</v>
      </c>
      <c r="F636" s="4">
        <v>0.02307</v>
      </c>
      <c r="G636" s="3">
        <v>1.2</v>
      </c>
      <c r="H636" s="5">
        <v>1799.67585</v>
      </c>
      <c r="I636" s="6">
        <v>22.7232</v>
      </c>
      <c r="J636" s="4">
        <v>0.72638</v>
      </c>
      <c r="K636" s="7">
        <v>0.0363</v>
      </c>
      <c r="L636" s="3">
        <v>40.1</v>
      </c>
      <c r="M636" s="3">
        <v>25.59</v>
      </c>
    </row>
    <row r="637" spans="1:13">
      <c r="A637" s="8" t="s">
        <v>648</v>
      </c>
      <c r="B637" s="2">
        <f>HYPERLINK("https://www.suredividend.com/sure-analysis-FELE/","FRANKLIN ELECTRIC CO INC")</f>
        <v>0</v>
      </c>
      <c r="C637" s="1" t="s">
        <v>1964</v>
      </c>
      <c r="D637" s="3">
        <v>100.43</v>
      </c>
      <c r="E637" s="4">
        <v>0.01055461515483421</v>
      </c>
      <c r="F637" s="4">
        <v>0.00906</v>
      </c>
      <c r="G637" s="3">
        <v>1.06</v>
      </c>
      <c r="H637" s="5">
        <v>4474.183498</v>
      </c>
      <c r="I637" s="6">
        <v>31.6208</v>
      </c>
      <c r="J637" s="4">
        <v>0.33896</v>
      </c>
      <c r="K637" s="7">
        <v>0.8924</v>
      </c>
      <c r="L637" s="3">
        <v>107.15</v>
      </c>
      <c r="M637" s="3">
        <v>78.19</v>
      </c>
    </row>
    <row r="638" spans="1:13">
      <c r="A638" s="8" t="s">
        <v>649</v>
      </c>
      <c r="B638" s="2">
        <f>HYPERLINK("https://www.suredividend.com/sure-analysis-research-database/","FENNEC PHARMACEUTICALS INC.")</f>
        <v>0</v>
      </c>
      <c r="C638" s="1" t="s">
        <v>1965</v>
      </c>
      <c r="D638" s="3">
        <v>7.7</v>
      </c>
      <c r="F638" s="4">
        <v>0</v>
      </c>
      <c r="G638" s="3">
        <v>0</v>
      </c>
      <c r="H638" s="5">
        <v>216.499583</v>
      </c>
      <c r="J638" s="4">
        <v>0</v>
      </c>
      <c r="K638" s="7">
        <v>1.2419</v>
      </c>
      <c r="L638" s="3">
        <v>9.92</v>
      </c>
      <c r="M638" s="3">
        <v>4.68</v>
      </c>
    </row>
    <row r="639" spans="1:13">
      <c r="A639" s="8" t="s">
        <v>650</v>
      </c>
      <c r="B639" s="2">
        <f>HYPERLINK("https://www.suredividend.com/sure-analysis-research-database/","FORUM ENERGY TECHNOLOGIES, INC.")</f>
        <v>0</v>
      </c>
      <c r="C639" s="1" t="s">
        <v>1969</v>
      </c>
      <c r="D639" s="3">
        <v>43.46</v>
      </c>
      <c r="F639" s="4">
        <v>0</v>
      </c>
      <c r="G639" s="3">
        <v>0</v>
      </c>
      <c r="H639" s="5">
        <v>485.497468</v>
      </c>
      <c r="J639" s="4">
        <v>0</v>
      </c>
      <c r="K639" s="7">
        <v>1.1291</v>
      </c>
      <c r="L639" s="3">
        <v>43.46</v>
      </c>
      <c r="M639" s="3">
        <v>12.78</v>
      </c>
    </row>
    <row r="640" spans="1:13">
      <c r="A640" s="8" t="s">
        <v>651</v>
      </c>
      <c r="B640" s="2">
        <f>HYPERLINK("https://www.suredividend.com/sure-analysis-research-database/","FutureFuel Corp.")</f>
        <v>0</v>
      </c>
      <c r="C640" s="1" t="s">
        <v>1970</v>
      </c>
      <c r="D640" s="3">
        <v>3.355</v>
      </c>
      <c r="E640" s="4">
        <v>0.07000000000000001</v>
      </c>
      <c r="F640" s="4">
        <v>0.38272</v>
      </c>
      <c r="G640" s="3">
        <v>0.24</v>
      </c>
      <c r="H640" s="5">
        <v>147.178896</v>
      </c>
      <c r="K640" s="7">
        <v>0.9288999999999999</v>
      </c>
      <c r="L640" s="3">
        <v>5.43</v>
      </c>
      <c r="M640" s="3">
        <v>3.04</v>
      </c>
    </row>
    <row r="641" spans="1:13">
      <c r="A641" s="8" t="s">
        <v>652</v>
      </c>
      <c r="B641" s="2">
        <f>HYPERLINK("https://www.suredividend.com/sure-analysis-research-database/","FIRST FINANCIAL BANCORP /OH/")</f>
        <v>0</v>
      </c>
      <c r="C641" s="1" t="s">
        <v>1962</v>
      </c>
      <c r="D641" s="3">
        <v>27.68</v>
      </c>
      <c r="E641" s="4">
        <v>0.04</v>
      </c>
      <c r="F641" s="4">
        <v>0.03684</v>
      </c>
      <c r="G641" s="3">
        <v>0.98</v>
      </c>
      <c r="H641" s="5">
        <v>2727.30193</v>
      </c>
      <c r="I641" s="6">
        <v>10.567</v>
      </c>
      <c r="J641" s="4">
        <v>0.359962</v>
      </c>
      <c r="K641" s="7">
        <v>0.9592000000000001</v>
      </c>
      <c r="L641" s="3">
        <v>28.11</v>
      </c>
      <c r="M641" s="3">
        <v>20.49</v>
      </c>
    </row>
    <row r="642" spans="1:13">
      <c r="A642" s="8" t="s">
        <v>653</v>
      </c>
      <c r="B642" s="2">
        <f>HYPERLINK("https://www.suredividend.com/sure-analysis-research-database/","FLUSHING FINANCIAL CORP")</f>
        <v>0</v>
      </c>
      <c r="C642" s="1" t="s">
        <v>1962</v>
      </c>
      <c r="D642" s="3">
        <v>16.04</v>
      </c>
      <c r="E642" s="4">
        <v>0.05</v>
      </c>
      <c r="F642" s="4">
        <v>0.05896</v>
      </c>
      <c r="G642" s="3">
        <v>0.88</v>
      </c>
      <c r="H642" s="5">
        <v>543.157283</v>
      </c>
      <c r="K642" s="7">
        <v>0.9899</v>
      </c>
      <c r="L642" s="3">
        <v>17.79</v>
      </c>
      <c r="M642" s="3">
        <v>10.16</v>
      </c>
    </row>
    <row r="643" spans="1:13">
      <c r="A643" s="8" t="s">
        <v>654</v>
      </c>
      <c r="B643" s="2">
        <f>HYPERLINK("https://www.suredividend.com/sure-analysis-FFIN/","FIRST FINANCIAL BANKSHARES INC")</f>
        <v>0</v>
      </c>
      <c r="C643" s="1" t="s">
        <v>1962</v>
      </c>
      <c r="D643" s="3">
        <v>33.83</v>
      </c>
      <c r="E643" s="4">
        <v>0.02246526751404079</v>
      </c>
      <c r="F643" s="4">
        <v>0.02183</v>
      </c>
      <c r="G643" s="3">
        <v>0.75</v>
      </c>
      <c r="H643" s="5">
        <v>4841.798309</v>
      </c>
      <c r="I643" s="6">
        <v>19.9586</v>
      </c>
      <c r="J643" s="4">
        <v>0.430657</v>
      </c>
      <c r="K643" s="7">
        <v>0.9833</v>
      </c>
      <c r="L643" s="3">
        <v>38.3</v>
      </c>
      <c r="M643" s="3">
        <v>29.44</v>
      </c>
    </row>
    <row r="644" spans="1:13">
      <c r="A644" s="8" t="s">
        <v>655</v>
      </c>
      <c r="B644" s="2">
        <f>HYPERLINK("https://www.suredividend.com/sure-analysis-research-database/","")</f>
        <v>0</v>
      </c>
      <c r="C644" s="1" t="s">
        <v>1962</v>
      </c>
      <c r="D644" s="3">
        <v>0</v>
      </c>
      <c r="E644" s="4">
        <v>0.02</v>
      </c>
      <c r="F644" s="4">
        <v>0.01507</v>
      </c>
      <c r="G644" s="3">
        <v>0.52</v>
      </c>
      <c r="H644" s="5">
        <v>208.182281</v>
      </c>
      <c r="I644" s="6">
        <v>194.1999</v>
      </c>
      <c r="J644" s="4">
        <v>4.443097</v>
      </c>
      <c r="K644" s="7">
        <v>0.2169</v>
      </c>
    </row>
    <row r="645" spans="1:13">
      <c r="A645" s="8" t="s">
        <v>656</v>
      </c>
      <c r="B645" s="2">
        <f>HYPERLINK("https://www.suredividend.com/sure-analysis-research-database/","First Foundation Inc.")</f>
        <v>0</v>
      </c>
      <c r="C645" s="1" t="s">
        <v>1962</v>
      </c>
      <c r="D645" s="3">
        <v>6.335</v>
      </c>
      <c r="F645" s="4">
        <v>0.03144</v>
      </c>
      <c r="G645" s="3">
        <v>0.04</v>
      </c>
      <c r="H645" s="5">
        <v>525.487102</v>
      </c>
      <c r="J645" s="4">
        <v>6E-06</v>
      </c>
      <c r="K645" s="7">
        <v>1.2923</v>
      </c>
      <c r="L645" s="3">
        <v>6.47</v>
      </c>
      <c r="M645" s="3">
        <v>4.42</v>
      </c>
    </row>
    <row r="646" spans="1:13">
      <c r="A646" s="8" t="s">
        <v>657</v>
      </c>
      <c r="B646" s="2">
        <f>HYPERLINK("https://www.suredividend.com/sure-analysis-research-database/","F&amp;G Annuities &amp; Life, Inc.")</f>
        <v>0</v>
      </c>
      <c r="C646" s="1" t="s">
        <v>1962</v>
      </c>
      <c r="D646" s="3">
        <v>28.055</v>
      </c>
      <c r="E646" s="4">
        <v>0.03</v>
      </c>
      <c r="F646" s="4">
        <v>0.01745</v>
      </c>
      <c r="G646" s="3">
        <v>0.91</v>
      </c>
      <c r="H646" s="5">
        <v>3548.326005</v>
      </c>
      <c r="I646" s="6">
        <v>7.9381</v>
      </c>
      <c r="J646" s="4">
        <v>0.316239</v>
      </c>
      <c r="K646" s="7">
        <v>1.1095</v>
      </c>
      <c r="L646" s="3">
        <v>46.54</v>
      </c>
      <c r="M646" s="3">
        <v>26.45</v>
      </c>
    </row>
    <row r="647" spans="1:13">
      <c r="A647" s="8" t="s">
        <v>658</v>
      </c>
      <c r="B647" s="2">
        <f>HYPERLINK("https://www.suredividend.com/sure-analysis-research-database/","Foghorn Therapeutics Inc.")</f>
        <v>0</v>
      </c>
      <c r="C647" s="1" t="s">
        <v>1959</v>
      </c>
      <c r="D647" s="3">
        <v>6.08</v>
      </c>
      <c r="F647" s="4">
        <v>0</v>
      </c>
      <c r="G647" s="3">
        <v>0</v>
      </c>
      <c r="H647" s="5">
        <v>343.831837</v>
      </c>
      <c r="J647" s="4">
        <v>0</v>
      </c>
      <c r="K647" s="7">
        <v>2.1849</v>
      </c>
      <c r="L647" s="3">
        <v>6.95</v>
      </c>
      <c r="M647" s="3">
        <v>2.94</v>
      </c>
    </row>
    <row r="648" spans="1:13">
      <c r="A648" s="8" t="s">
        <v>659</v>
      </c>
      <c r="B648" s="2">
        <f>HYPERLINK("https://www.suredividend.com/sure-analysis-research-database/","FIRST INTERSTATE BANCSYSTEM INC")</f>
        <v>0</v>
      </c>
      <c r="C648" s="1" t="s">
        <v>1962</v>
      </c>
      <c r="D648" s="3">
        <v>38.04</v>
      </c>
      <c r="E648" s="4">
        <v>0.05</v>
      </c>
      <c r="F648" s="4">
        <v>0.05092</v>
      </c>
      <c r="G648" s="3">
        <v>1.88</v>
      </c>
      <c r="H648" s="5">
        <v>3914.987863</v>
      </c>
      <c r="I648" s="6">
        <v>15.9535</v>
      </c>
      <c r="J648" s="4">
        <v>0.795436</v>
      </c>
      <c r="K648" s="7">
        <v>1.0798</v>
      </c>
      <c r="L648" s="3">
        <v>38.01</v>
      </c>
      <c r="M648" s="3">
        <v>21.87</v>
      </c>
    </row>
    <row r="649" spans="1:13">
      <c r="A649" s="8" t="s">
        <v>660</v>
      </c>
      <c r="B649" s="2">
        <f>HYPERLINK("https://www.suredividend.com/sure-analysis-research-database/","FIGS, Inc.")</f>
        <v>0</v>
      </c>
      <c r="C649" s="1" t="s">
        <v>1959</v>
      </c>
      <c r="D649" s="3">
        <v>11.58</v>
      </c>
      <c r="F649" s="4">
        <v>0</v>
      </c>
      <c r="G649" s="3">
        <v>0</v>
      </c>
      <c r="H649" s="5">
        <v>1904.894934</v>
      </c>
      <c r="I649" s="6">
        <v>108.0608</v>
      </c>
      <c r="J649" s="4">
        <v>0</v>
      </c>
      <c r="K649" s="7">
        <v>0.9631999999999999</v>
      </c>
      <c r="L649" s="3">
        <v>12.5</v>
      </c>
      <c r="M649" s="3">
        <v>3.57</v>
      </c>
    </row>
    <row r="650" spans="1:13">
      <c r="A650" s="8" t="s">
        <v>661</v>
      </c>
      <c r="B650" s="2">
        <f>HYPERLINK("https://www.suredividend.com/sure-analysis-research-database/","Fidelis Insurance Holdings Ltd")</f>
        <v>0</v>
      </c>
      <c r="C650" s="1" t="s">
        <v>1959</v>
      </c>
      <c r="D650" s="3">
        <v>18.56</v>
      </c>
      <c r="E650" s="4">
        <v>0.03</v>
      </c>
      <c r="F650" s="4">
        <v>0.00942</v>
      </c>
      <c r="G650" s="3">
        <v>0.5</v>
      </c>
      <c r="H650" s="5">
        <v>2074.829981</v>
      </c>
      <c r="I650" s="6">
        <v>18.3127</v>
      </c>
      <c r="J650" s="4">
        <v>0.407767</v>
      </c>
      <c r="K650" s="7">
        <v>0.3152</v>
      </c>
      <c r="L650" s="3">
        <v>19.83</v>
      </c>
      <c r="M650" s="3">
        <v>13.75</v>
      </c>
    </row>
    <row r="651" spans="1:13">
      <c r="A651" s="8" t="s">
        <v>662</v>
      </c>
      <c r="B651" s="2">
        <f>HYPERLINK("https://www.suredividend.com/sure-analysis-research-database/","FTAI Infrastructure Inc.")</f>
        <v>0</v>
      </c>
      <c r="C651" s="1" t="s">
        <v>1959</v>
      </c>
      <c r="D651" s="3">
        <v>6.1</v>
      </c>
      <c r="E651" s="4">
        <v>0.02</v>
      </c>
      <c r="F651" s="4">
        <v>0.01677</v>
      </c>
      <c r="G651" s="3">
        <v>0.12</v>
      </c>
      <c r="H651" s="5">
        <v>595.330927</v>
      </c>
      <c r="K651" s="7">
        <v>1.4415</v>
      </c>
      <c r="L651" s="3">
        <v>7.84</v>
      </c>
      <c r="M651" s="3">
        <v>3.04</v>
      </c>
    </row>
    <row r="652" spans="1:13">
      <c r="A652" s="8" t="s">
        <v>663</v>
      </c>
      <c r="B652" s="2">
        <f>HYPERLINK("https://www.suredividend.com/sure-analysis-research-database/","FINANCIAL INSTITUTIONS INC")</f>
        <v>0</v>
      </c>
      <c r="C652" s="1" t="s">
        <v>1962</v>
      </c>
      <c r="D652" s="3">
        <v>33.26</v>
      </c>
      <c r="E652" s="4">
        <v>0.04</v>
      </c>
      <c r="F652" s="4">
        <v>0.03742</v>
      </c>
      <c r="G652" s="3">
        <v>0</v>
      </c>
      <c r="H652" s="5">
        <v>669.54196</v>
      </c>
      <c r="L652" s="3">
        <v>33.42</v>
      </c>
      <c r="M652" s="3">
        <v>20.29</v>
      </c>
    </row>
    <row r="653" spans="1:13">
      <c r="A653" s="8" t="s">
        <v>664</v>
      </c>
      <c r="B653" s="2">
        <f>HYPERLINK("https://www.suredividend.com/sure-analysis-research-database/","NATIONAL BEVERAGE CORP")</f>
        <v>0</v>
      </c>
      <c r="C653" s="1" t="s">
        <v>1966</v>
      </c>
      <c r="D653" s="3">
        <v>33.89</v>
      </c>
      <c r="F653" s="4">
        <v>0.03906</v>
      </c>
      <c r="G653" s="3">
        <v>0</v>
      </c>
      <c r="H653" s="5">
        <v>3175.064579</v>
      </c>
      <c r="I653" s="6">
        <v>17.0219</v>
      </c>
      <c r="J653" s="4">
        <v>0</v>
      </c>
    </row>
    <row r="654" spans="1:13">
      <c r="A654" s="8" t="s">
        <v>665</v>
      </c>
      <c r="B654" s="2">
        <f>HYPERLINK("https://www.suredividend.com/sure-analysis-research-database/","Frontier Lithium Inc.")</f>
        <v>0</v>
      </c>
      <c r="C654" s="1" t="s">
        <v>1963</v>
      </c>
      <c r="D654" s="3">
        <v>24.03</v>
      </c>
      <c r="F654" s="4">
        <v>0.0329</v>
      </c>
      <c r="G654" s="3">
        <v>0</v>
      </c>
      <c r="H654" s="5">
        <v>2294.782401</v>
      </c>
      <c r="J654" s="4">
        <v>0</v>
      </c>
    </row>
    <row r="655" spans="1:13">
      <c r="A655" s="8" t="s">
        <v>666</v>
      </c>
      <c r="B655" s="2">
        <f>HYPERLINK("https://www.suredividend.com/sure-analysis-research-database/","FLAGSTAR FINANCIAL, INC.")</f>
        <v>0</v>
      </c>
      <c r="C655" s="1" t="s">
        <v>1959</v>
      </c>
      <c r="D655" s="3">
        <v>13.21</v>
      </c>
      <c r="F655" s="4">
        <v>0.09322999999999999</v>
      </c>
      <c r="G655" s="3">
        <v>0</v>
      </c>
      <c r="H655" s="5">
        <v>5508.76537</v>
      </c>
      <c r="K655" s="7">
        <v>1.0878</v>
      </c>
    </row>
    <row r="656" spans="1:13">
      <c r="A656" s="8" t="s">
        <v>667</v>
      </c>
      <c r="B656" s="2">
        <f>HYPERLINK("https://www.suredividend.com/sure-analysis-research-database/","Fulgent Genetics, Inc.")</f>
        <v>0</v>
      </c>
      <c r="C656" s="1" t="s">
        <v>1965</v>
      </c>
      <c r="D656" s="3">
        <v>27.855</v>
      </c>
      <c r="F656" s="4">
        <v>0</v>
      </c>
      <c r="G656" s="3">
        <v>0</v>
      </c>
      <c r="H656" s="5">
        <v>860.910117</v>
      </c>
      <c r="J656" s="4">
        <v>0</v>
      </c>
      <c r="K656" s="7">
        <v>0.6183</v>
      </c>
      <c r="L656" s="3">
        <v>31.04</v>
      </c>
      <c r="M656" s="3">
        <v>14.57</v>
      </c>
    </row>
    <row r="657" spans="1:13">
      <c r="A657" s="8" t="s">
        <v>668</v>
      </c>
      <c r="B657" s="2">
        <f>HYPERLINK("https://www.suredividend.com/sure-analysis-research-database/","FIRST OF LONG ISLAND CORP")</f>
        <v>0</v>
      </c>
      <c r="C657" s="1" t="s">
        <v>1962</v>
      </c>
      <c r="D657" s="3">
        <v>0</v>
      </c>
      <c r="E657" s="4">
        <v>0.07000000000000001</v>
      </c>
      <c r="F657" s="4">
        <v>0.06201</v>
      </c>
      <c r="G657" s="3">
        <v>0.84</v>
      </c>
      <c r="H657" s="5">
        <v>269.205867</v>
      </c>
      <c r="I657" s="6">
        <v>16.418</v>
      </c>
      <c r="J657" s="4">
        <v>0.866378</v>
      </c>
      <c r="K657" s="7">
        <v>0.647</v>
      </c>
    </row>
    <row r="658" spans="1:13">
      <c r="A658" s="8" t="s">
        <v>669</v>
      </c>
      <c r="B658" s="2">
        <f>HYPERLINK("https://www.suredividend.com/sure-analysis-research-database/","FULL HOUSE RESORTS INC")</f>
        <v>0</v>
      </c>
      <c r="C658" s="1" t="s">
        <v>1963</v>
      </c>
      <c r="D658" s="3">
        <v>2.51</v>
      </c>
      <c r="F658" s="4">
        <v>0</v>
      </c>
      <c r="G658" s="3">
        <v>0</v>
      </c>
      <c r="H658" s="5">
        <v>90.66495999999999</v>
      </c>
      <c r="J658" s="4">
        <v>0</v>
      </c>
      <c r="K658" s="7">
        <v>1.4947</v>
      </c>
      <c r="L658" s="3">
        <v>5.59</v>
      </c>
      <c r="M658" s="3">
        <v>2.25</v>
      </c>
    </row>
    <row r="659" spans="1:13">
      <c r="A659" s="8" t="s">
        <v>670</v>
      </c>
      <c r="B659" s="2">
        <f>HYPERLINK("https://www.suredividend.com/sure-analysis-research-database/","Fluence Energy, Inc.")</f>
        <v>0</v>
      </c>
      <c r="C659" s="1" t="s">
        <v>1959</v>
      </c>
      <c r="D659" s="3">
        <v>26.96</v>
      </c>
      <c r="F659" s="4">
        <v>0</v>
      </c>
      <c r="G659" s="3">
        <v>0</v>
      </c>
      <c r="H659" s="5">
        <v>4816.76003</v>
      </c>
      <c r="K659" s="7">
        <v>2.2066</v>
      </c>
      <c r="L659" s="3">
        <v>27.93</v>
      </c>
      <c r="M659" s="3">
        <v>3.46</v>
      </c>
    </row>
    <row r="660" spans="1:13">
      <c r="A660" s="8" t="s">
        <v>671</v>
      </c>
      <c r="B660" s="2">
        <f>HYPERLINK("https://www.suredividend.com/sure-analysis-research-database/","Flex LNG Ltd.")</f>
        <v>0</v>
      </c>
      <c r="C660" s="1" t="s">
        <v>1969</v>
      </c>
      <c r="D660" s="3">
        <v>26.86</v>
      </c>
      <c r="E660" s="4">
        <v>0.11</v>
      </c>
      <c r="F660" s="4">
        <v>0.10774</v>
      </c>
      <c r="G660" s="3">
        <v>3</v>
      </c>
      <c r="H660" s="5">
        <v>1455.501837</v>
      </c>
      <c r="I660" s="6">
        <v>12.3679</v>
      </c>
      <c r="J660" s="4">
        <v>1.373798</v>
      </c>
      <c r="K660" s="7">
        <v>0.3231</v>
      </c>
      <c r="L660" s="3">
        <v>27.46</v>
      </c>
      <c r="M660" s="3">
        <v>17.82</v>
      </c>
    </row>
    <row r="661" spans="1:13">
      <c r="A661" s="8" t="s">
        <v>672</v>
      </c>
      <c r="B661" s="2">
        <f>HYPERLINK("https://www.suredividend.com/sure-analysis-research-database/","Flowco Holdings Inc.")</f>
        <v>0</v>
      </c>
      <c r="C661" s="1" t="s">
        <v>1959</v>
      </c>
      <c r="D661" s="3">
        <v>21.02</v>
      </c>
      <c r="E661" s="4">
        <v>0.01</v>
      </c>
      <c r="F661" s="4">
        <v>0.00257</v>
      </c>
      <c r="G661" s="3">
        <v>0.24</v>
      </c>
      <c r="H661" s="5">
        <v>1902.084669</v>
      </c>
      <c r="K661" s="7">
        <v>0.9777</v>
      </c>
      <c r="L661" s="3">
        <v>29.82</v>
      </c>
      <c r="M661" s="3">
        <v>13.96</v>
      </c>
    </row>
    <row r="662" spans="1:13">
      <c r="A662" s="8" t="s">
        <v>673</v>
      </c>
      <c r="B662" s="2">
        <f>HYPERLINK("https://www.suredividend.com/sure-analysis-research-database/","FLUOR CORP")</f>
        <v>0</v>
      </c>
      <c r="C662" s="1" t="s">
        <v>1964</v>
      </c>
      <c r="D662" s="3">
        <v>45.22</v>
      </c>
      <c r="F662" s="4">
        <v>0</v>
      </c>
      <c r="G662" s="3">
        <v>0.62</v>
      </c>
      <c r="H662" s="5">
        <v>7220.976314</v>
      </c>
      <c r="I662" s="6">
        <v>2.1332</v>
      </c>
      <c r="J662" s="4">
        <v>0.014562</v>
      </c>
      <c r="K662" s="7">
        <v>1.2997</v>
      </c>
      <c r="L662" s="3">
        <v>57.5</v>
      </c>
      <c r="M662" s="3">
        <v>29.2</v>
      </c>
    </row>
    <row r="663" spans="1:13">
      <c r="A663" s="8" t="s">
        <v>674</v>
      </c>
      <c r="B663" s="2">
        <f>HYPERLINK("https://www.suredividend.com/sure-analysis-research-database/","1 800 FLOWERS COM INC")</f>
        <v>0</v>
      </c>
      <c r="C663" s="1" t="s">
        <v>1963</v>
      </c>
      <c r="D663" s="3">
        <v>4.4</v>
      </c>
      <c r="F663" s="4">
        <v>0</v>
      </c>
      <c r="G663" s="3">
        <v>0</v>
      </c>
      <c r="H663" s="5">
        <v>284.59111</v>
      </c>
      <c r="J663" s="4">
        <v>0</v>
      </c>
      <c r="K663" s="7">
        <v>1.6945</v>
      </c>
      <c r="L663" s="3">
        <v>9.17</v>
      </c>
      <c r="M663" s="3">
        <v>2.93</v>
      </c>
    </row>
    <row r="664" spans="1:13">
      <c r="A664" s="8" t="s">
        <v>675</v>
      </c>
      <c r="B664" s="2">
        <f>HYPERLINK("https://www.suredividend.com/sure-analysis-research-database/","FLEXSTEEL INDUSTRIES INC")</f>
        <v>0</v>
      </c>
      <c r="C664" s="1" t="s">
        <v>1963</v>
      </c>
      <c r="D664" s="3">
        <v>42.17</v>
      </c>
      <c r="E664" s="4">
        <v>0.02</v>
      </c>
      <c r="F664" s="4">
        <v>0.01649</v>
      </c>
      <c r="G664" s="3">
        <v>0.77</v>
      </c>
      <c r="H664" s="5">
        <v>235.9557</v>
      </c>
      <c r="I664" s="6">
        <v>17.2042</v>
      </c>
      <c r="J664" s="4">
        <v>0.254612</v>
      </c>
      <c r="K664" s="7">
        <v>0.7768</v>
      </c>
      <c r="L664" s="3">
        <v>62.95</v>
      </c>
      <c r="M664" s="3">
        <v>28.96</v>
      </c>
    </row>
    <row r="665" spans="1:13">
      <c r="A665" s="8" t="s">
        <v>676</v>
      </c>
      <c r="B665" s="2">
        <f>HYPERLINK("https://www.suredividend.com/sure-analysis-research-database/","Flywire Corp")</f>
        <v>0</v>
      </c>
      <c r="C665" s="1" t="s">
        <v>1959</v>
      </c>
      <c r="D665" s="3">
        <v>13.63</v>
      </c>
      <c r="F665" s="4">
        <v>0</v>
      </c>
      <c r="G665" s="3">
        <v>0</v>
      </c>
      <c r="H665" s="5">
        <v>1645.049774</v>
      </c>
      <c r="J665" s="4">
        <v>0</v>
      </c>
      <c r="K665" s="7">
        <v>1.2002</v>
      </c>
      <c r="L665" s="3">
        <v>21.31</v>
      </c>
      <c r="M665" s="3">
        <v>8.199999999999999</v>
      </c>
    </row>
    <row r="666" spans="1:13">
      <c r="A666" s="8" t="s">
        <v>677</v>
      </c>
      <c r="B666" s="2">
        <f>HYPERLINK("https://www.suredividend.com/sure-analysis-FMAO/","FARMERS &amp; MERCHANTS BANCORP INC")</f>
        <v>0</v>
      </c>
      <c r="C666" s="1" t="s">
        <v>1962</v>
      </c>
      <c r="D666" s="3">
        <v>26.81</v>
      </c>
      <c r="E666" s="4">
        <v>0.03431555389779933</v>
      </c>
      <c r="F666" s="4">
        <v>0.03445</v>
      </c>
      <c r="G666" s="3">
        <v>0.9</v>
      </c>
      <c r="H666" s="5">
        <v>368.086001</v>
      </c>
      <c r="I666" s="6">
        <v>11.5398</v>
      </c>
      <c r="J666" s="4">
        <v>0.375929</v>
      </c>
      <c r="K666" s="7">
        <v>1.0949</v>
      </c>
      <c r="L666" s="3">
        <v>28.14</v>
      </c>
      <c r="M666" s="3">
        <v>20.34</v>
      </c>
    </row>
    <row r="667" spans="1:13">
      <c r="A667" s="8" t="s">
        <v>678</v>
      </c>
      <c r="B667" s="2">
        <f>HYPERLINK("https://www.suredividend.com/sure-analysis-FMBH/","FIRST MID BANCSHARES, INC.")</f>
        <v>0</v>
      </c>
      <c r="C667" s="1" t="s">
        <v>1962</v>
      </c>
      <c r="D667" s="3">
        <v>43.36</v>
      </c>
      <c r="E667" s="4">
        <v>0.02306273062730627</v>
      </c>
      <c r="F667" s="4">
        <v>0.02332</v>
      </c>
      <c r="G667" s="3">
        <v>0.98</v>
      </c>
      <c r="H667" s="5">
        <v>1041.278511</v>
      </c>
      <c r="I667" s="6">
        <v>11.9359</v>
      </c>
      <c r="J667" s="4">
        <v>0.265237</v>
      </c>
      <c r="K667" s="7">
        <v>0.9678</v>
      </c>
      <c r="L667" s="3">
        <v>43.38</v>
      </c>
      <c r="M667" s="3">
        <v>27.04</v>
      </c>
    </row>
    <row r="668" spans="1:13">
      <c r="A668" s="8" t="s">
        <v>679</v>
      </c>
      <c r="B668" s="2">
        <f>HYPERLINK("https://www.suredividend.com/sure-analysis-research-database/","FARMERS NATIONAL BANC CORP /OH/")</f>
        <v>0</v>
      </c>
      <c r="C668" s="1" t="s">
        <v>1962</v>
      </c>
      <c r="D668" s="3">
        <v>13.87</v>
      </c>
      <c r="E668" s="4">
        <v>0.05</v>
      </c>
      <c r="F668" s="4">
        <v>0.04792</v>
      </c>
      <c r="G668" s="3">
        <v>0.68</v>
      </c>
      <c r="H668" s="5">
        <v>522.249648</v>
      </c>
      <c r="I668" s="6">
        <v>9.610799999999999</v>
      </c>
      <c r="J668" s="4">
        <v>0.468274</v>
      </c>
      <c r="K668" s="7">
        <v>0.8565</v>
      </c>
      <c r="L668" s="3">
        <v>15.15</v>
      </c>
      <c r="M668" s="3">
        <v>11.18</v>
      </c>
    </row>
    <row r="669" spans="1:13">
      <c r="A669" s="8" t="s">
        <v>680</v>
      </c>
      <c r="B669" s="2">
        <f>HYPERLINK("https://www.suredividend.com/sure-analysis-research-database/","Fabrinet")</f>
        <v>0</v>
      </c>
      <c r="C669" s="1" t="s">
        <v>1960</v>
      </c>
      <c r="D669" s="3">
        <v>494</v>
      </c>
      <c r="F669" s="4">
        <v>0</v>
      </c>
      <c r="G669" s="3">
        <v>0</v>
      </c>
      <c r="H669" s="5">
        <v>17496.576276</v>
      </c>
      <c r="I669" s="6">
        <v>50.4904</v>
      </c>
      <c r="J669" s="4">
        <v>0</v>
      </c>
      <c r="K669" s="7">
        <v>1.8222</v>
      </c>
      <c r="L669" s="3">
        <v>531.22</v>
      </c>
      <c r="M669" s="3">
        <v>148.55</v>
      </c>
    </row>
    <row r="670" spans="1:13">
      <c r="A670" s="8" t="s">
        <v>681</v>
      </c>
      <c r="B670" s="2">
        <f>HYPERLINK("https://www.suredividend.com/sure-analysis-research-database/","Freenet AG Unsponsored ADR")</f>
        <v>0</v>
      </c>
      <c r="C670" s="1" t="s">
        <v>1959</v>
      </c>
      <c r="D670" s="3">
        <v>14</v>
      </c>
      <c r="F670" s="4">
        <v>0</v>
      </c>
      <c r="G670" s="3">
        <v>0</v>
      </c>
      <c r="H670" s="5">
        <v>1098.18521</v>
      </c>
      <c r="J670" s="4">
        <v>0</v>
      </c>
      <c r="K670" s="7">
        <v>1.0109</v>
      </c>
    </row>
    <row r="671" spans="1:13">
      <c r="A671" s="8" t="s">
        <v>682</v>
      </c>
      <c r="B671" s="2">
        <f>HYPERLINK("https://www.suredividend.com/sure-analysis-research-database/","Funko, Inc.")</f>
        <v>0</v>
      </c>
      <c r="C671" s="1" t="s">
        <v>1963</v>
      </c>
      <c r="D671" s="3">
        <v>3.77</v>
      </c>
      <c r="G671" s="3">
        <v>0</v>
      </c>
      <c r="H671" s="5">
        <v>208.823422</v>
      </c>
      <c r="J671" s="4">
        <v>0</v>
      </c>
      <c r="L671" s="3">
        <v>14.28</v>
      </c>
      <c r="M671" s="3">
        <v>2.22</v>
      </c>
    </row>
    <row r="672" spans="1:13">
      <c r="A672" s="8" t="s">
        <v>683</v>
      </c>
      <c r="B672" s="2">
        <f>HYPERLINK("https://www.suredividend.com/sure-analysis-FNLC/","First Bancorp, Inc /ME/")</f>
        <v>0</v>
      </c>
      <c r="C672" s="1" t="s">
        <v>1962</v>
      </c>
      <c r="D672" s="3">
        <v>27.54</v>
      </c>
      <c r="E672" s="4">
        <v>0.05374001452432825</v>
      </c>
      <c r="F672" s="4">
        <v>0.04901</v>
      </c>
      <c r="G672" s="3">
        <v>0</v>
      </c>
      <c r="H672" s="5">
        <v>310.102005</v>
      </c>
      <c r="I672" s="6">
        <v>9.843299999999999</v>
      </c>
      <c r="J672" s="4">
        <v>0.510062</v>
      </c>
    </row>
    <row r="673" spans="1:13">
      <c r="A673" s="8" t="s">
        <v>684</v>
      </c>
      <c r="B673" s="2">
        <f>HYPERLINK("https://www.suredividend.com/sure-analysis-research-database/","AMICUS THERAPEUTICS, INC.")</f>
        <v>0</v>
      </c>
      <c r="C673" s="1" t="s">
        <v>1965</v>
      </c>
      <c r="D673" s="3">
        <v>14.37</v>
      </c>
      <c r="G673" s="3">
        <v>0</v>
      </c>
      <c r="H673" s="5">
        <v>4427.456414</v>
      </c>
      <c r="J673" s="4">
        <v>0</v>
      </c>
      <c r="L673" s="3">
        <v>14.38</v>
      </c>
      <c r="M673" s="3">
        <v>5.51</v>
      </c>
    </row>
    <row r="674" spans="1:13">
      <c r="A674" s="8" t="s">
        <v>685</v>
      </c>
      <c r="B674" s="2">
        <f>HYPERLINK("https://www.suredividend.com/sure-analysis-research-database/","Forestar Group Inc.")</f>
        <v>0</v>
      </c>
      <c r="C674" s="1" t="s">
        <v>1961</v>
      </c>
      <c r="D674" s="3">
        <v>25.7</v>
      </c>
      <c r="G674" s="3">
        <v>0</v>
      </c>
      <c r="H674" s="5">
        <v>1306.641379</v>
      </c>
      <c r="I674" s="6">
        <v>7.7823</v>
      </c>
      <c r="J674" s="4">
        <v>0</v>
      </c>
      <c r="L674" s="3">
        <v>29.44</v>
      </c>
      <c r="M674" s="3">
        <v>18</v>
      </c>
    </row>
    <row r="675" spans="1:13">
      <c r="A675" s="8" t="s">
        <v>686</v>
      </c>
      <c r="B675" s="2">
        <f>HYPERLINK("https://www.suredividend.com/sure-analysis-research-database/","FORMFACTOR INC")</f>
        <v>0</v>
      </c>
      <c r="C675" s="1" t="s">
        <v>1960</v>
      </c>
      <c r="D675" s="3">
        <v>85.11</v>
      </c>
      <c r="G675" s="3">
        <v>0</v>
      </c>
      <c r="H675" s="5">
        <v>6469.576916</v>
      </c>
      <c r="I675" s="6">
        <v>158.3817</v>
      </c>
      <c r="J675" s="4">
        <v>0</v>
      </c>
      <c r="K675" s="7">
        <v>1.997</v>
      </c>
      <c r="L675" s="3">
        <v>80.18000000000001</v>
      </c>
      <c r="M675" s="3">
        <v>22.58</v>
      </c>
    </row>
    <row r="676" spans="1:13">
      <c r="A676" s="8" t="s">
        <v>687</v>
      </c>
      <c r="B676" s="2">
        <f>HYPERLINK("https://www.suredividend.com/sure-analysis-research-database/","FORRESTER RESEARCH, INC.")</f>
        <v>0</v>
      </c>
      <c r="C676" s="1" t="s">
        <v>1964</v>
      </c>
      <c r="D676" s="3">
        <v>8.1</v>
      </c>
      <c r="F676" s="4">
        <v>0</v>
      </c>
      <c r="G676" s="3">
        <v>0.8</v>
      </c>
      <c r="H676" s="5">
        <v>153.35421</v>
      </c>
      <c r="J676" s="4">
        <v>0</v>
      </c>
      <c r="K676" s="7">
        <v>0.8015</v>
      </c>
      <c r="L676" s="3">
        <v>15.8</v>
      </c>
      <c r="M676" s="3">
        <v>6.6</v>
      </c>
    </row>
    <row r="677" spans="1:13">
      <c r="A677" s="8" t="s">
        <v>688</v>
      </c>
      <c r="B677" s="2">
        <f>HYPERLINK("https://www.suredividend.com/sure-analysis-research-database/","FOX FACTORY HOLDING CORP")</f>
        <v>0</v>
      </c>
      <c r="C677" s="1" t="s">
        <v>1963</v>
      </c>
      <c r="D677" s="3">
        <v>19.225</v>
      </c>
      <c r="F677" s="4">
        <v>0</v>
      </c>
      <c r="G677" s="3">
        <v>0</v>
      </c>
      <c r="H677" s="5">
        <v>803.422082</v>
      </c>
      <c r="J677" s="4">
        <v>0</v>
      </c>
      <c r="K677" s="7">
        <v>1.2303</v>
      </c>
      <c r="L677" s="3">
        <v>31.18</v>
      </c>
      <c r="M677" s="3">
        <v>13.08</v>
      </c>
    </row>
    <row r="678" spans="1:13">
      <c r="A678" s="8" t="s">
        <v>689</v>
      </c>
      <c r="B678" s="2">
        <f>HYPERLINK("https://www.suredividend.com/sure-analysis-research-database/","Farmland Partners Inc.")</f>
        <v>0</v>
      </c>
      <c r="C678" s="1" t="s">
        <v>1961</v>
      </c>
      <c r="D678" s="3">
        <v>10.65</v>
      </c>
      <c r="E678" s="4">
        <v>0.04</v>
      </c>
      <c r="F678" s="4">
        <v>0.05382</v>
      </c>
      <c r="G678" s="3">
        <v>0.44</v>
      </c>
      <c r="H678" s="5">
        <v>464.160667</v>
      </c>
      <c r="I678" s="6">
        <v>7.0818</v>
      </c>
      <c r="J678" s="4">
        <v>0.948833</v>
      </c>
      <c r="K678" s="7">
        <v>0.7118</v>
      </c>
      <c r="L678" s="3">
        <v>12.33</v>
      </c>
      <c r="M678" s="3">
        <v>9.119999999999999</v>
      </c>
    </row>
    <row r="679" spans="1:13">
      <c r="A679" s="8" t="s">
        <v>690</v>
      </c>
      <c r="B679" s="2">
        <f>HYPERLINK("https://www.suredividend.com/sure-analysis-research-database/","First Bank")</f>
        <v>0</v>
      </c>
      <c r="C679" s="1" t="s">
        <v>1962</v>
      </c>
      <c r="D679" s="3">
        <v>17.31</v>
      </c>
      <c r="E679" s="4">
        <v>0.01</v>
      </c>
      <c r="F679" s="4">
        <v>0.01433</v>
      </c>
      <c r="G679" s="3">
        <v>0.24</v>
      </c>
      <c r="H679" s="5">
        <v>336.7008</v>
      </c>
      <c r="I679" s="6">
        <v>12.3819</v>
      </c>
      <c r="K679" s="7">
        <v>0.7251</v>
      </c>
      <c r="L679" s="3">
        <v>18.11</v>
      </c>
      <c r="M679" s="3">
        <v>12.59</v>
      </c>
    </row>
    <row r="680" spans="1:13">
      <c r="A680" s="8" t="s">
        <v>691</v>
      </c>
      <c r="B680" s="2">
        <f>HYPERLINK("https://www.suredividend.com/sure-analysis-research-database/","Forge Global Holdings, Inc.")</f>
        <v>0</v>
      </c>
      <c r="C680" s="1" t="s">
        <v>1959</v>
      </c>
      <c r="D680" s="3">
        <v>44.695</v>
      </c>
      <c r="F680" s="4">
        <v>0</v>
      </c>
      <c r="G680" s="3">
        <v>0</v>
      </c>
      <c r="H680" s="5">
        <v>614.920959</v>
      </c>
      <c r="J680" s="4">
        <v>0</v>
      </c>
      <c r="K680" s="7">
        <v>1.8693</v>
      </c>
      <c r="L680" s="3">
        <v>44.88</v>
      </c>
      <c r="M680" s="3">
        <v>6.6</v>
      </c>
    </row>
    <row r="681" spans="1:13">
      <c r="A681" s="8" t="s">
        <v>692</v>
      </c>
      <c r="B681" s="2">
        <f>HYPERLINK("https://www.suredividend.com/sure-analysis-FRME/","FIRST MERCHANTS CORP")</f>
        <v>0</v>
      </c>
      <c r="C681" s="1" t="s">
        <v>1962</v>
      </c>
      <c r="D681" s="3">
        <v>39.3</v>
      </c>
      <c r="E681" s="4">
        <v>0.0366412213740458</v>
      </c>
      <c r="F681" s="4">
        <v>0.03412</v>
      </c>
      <c r="G681" s="3">
        <v>1.43</v>
      </c>
      <c r="H681" s="5">
        <v>2274.258037</v>
      </c>
      <c r="I681" s="6">
        <v>9.8278</v>
      </c>
      <c r="J681" s="4">
        <v>0.361978</v>
      </c>
      <c r="K681" s="7">
        <v>0.9157</v>
      </c>
      <c r="L681" s="3">
        <v>43.98</v>
      </c>
      <c r="M681" s="3">
        <v>32.21</v>
      </c>
    </row>
    <row r="682" spans="1:13">
      <c r="A682" s="8" t="s">
        <v>693</v>
      </c>
      <c r="B682" s="2">
        <f>HYPERLINK("https://www.suredividend.com/sure-analysis-research-database/","FRP HOLDINGS, INC.")</f>
        <v>0</v>
      </c>
      <c r="C682" s="1" t="s">
        <v>1961</v>
      </c>
      <c r="D682" s="3">
        <v>23.915</v>
      </c>
      <c r="F682" s="4">
        <v>0</v>
      </c>
      <c r="G682" s="3">
        <v>3</v>
      </c>
      <c r="H682" s="5">
        <v>457.243286</v>
      </c>
      <c r="I682" s="6">
        <v>98.77800000000001</v>
      </c>
      <c r="J682" s="4">
        <v>2.978714</v>
      </c>
      <c r="K682" s="7">
        <v>0.4324</v>
      </c>
      <c r="L682" s="3">
        <v>31.99</v>
      </c>
      <c r="M682" s="3">
        <v>21.68</v>
      </c>
    </row>
    <row r="683" spans="1:13">
      <c r="A683" s="8" t="s">
        <v>694</v>
      </c>
      <c r="B683" s="2">
        <f>HYPERLINK("https://www.suredividend.com/sure-analysis-research-database/","Freshworks Inc.")</f>
        <v>0</v>
      </c>
      <c r="C683" s="1" t="s">
        <v>1959</v>
      </c>
      <c r="D683" s="3">
        <v>11.24</v>
      </c>
      <c r="F683" s="4">
        <v>0</v>
      </c>
      <c r="G683" s="3">
        <v>0</v>
      </c>
      <c r="H683" s="5">
        <v>3135.525893</v>
      </c>
      <c r="J683" s="4">
        <v>0</v>
      </c>
      <c r="K683" s="7">
        <v>1.6151</v>
      </c>
      <c r="L683" s="3">
        <v>19.77</v>
      </c>
      <c r="M683" s="3">
        <v>10.51</v>
      </c>
    </row>
    <row r="684" spans="1:13">
      <c r="A684" s="8" t="s">
        <v>695</v>
      </c>
      <c r="B684" s="2">
        <f>HYPERLINK("https://www.suredividend.com/sure-analysis-research-database/","Primis Financial Corp.")</f>
        <v>0</v>
      </c>
      <c r="C684" s="1" t="s">
        <v>1959</v>
      </c>
      <c r="D684" s="3">
        <v>14.02</v>
      </c>
      <c r="E684" s="4">
        <v>0.03</v>
      </c>
      <c r="F684" s="4">
        <v>0.03223</v>
      </c>
      <c r="G684" s="3">
        <v>0.4</v>
      </c>
      <c r="H684" s="5">
        <v>345.514278</v>
      </c>
      <c r="I684" s="6">
        <v>40.3261</v>
      </c>
      <c r="J684" s="4">
        <v>4.60438</v>
      </c>
      <c r="K684" s="7">
        <v>1.0371</v>
      </c>
      <c r="L684" s="3">
        <v>14.38</v>
      </c>
      <c r="M684" s="3">
        <v>7.37</v>
      </c>
    </row>
    <row r="685" spans="1:13">
      <c r="A685" s="8" t="s">
        <v>696</v>
      </c>
      <c r="B685" s="2">
        <f>HYPERLINK("https://www.suredividend.com/sure-analysis-research-database/","FIVE STAR BANCORP")</f>
        <v>0</v>
      </c>
      <c r="C685" s="1" t="s">
        <v>1962</v>
      </c>
      <c r="D685" s="3">
        <v>39.57</v>
      </c>
      <c r="E685" s="4">
        <v>0.02</v>
      </c>
      <c r="F685" s="4">
        <v>0.01787</v>
      </c>
      <c r="G685" s="3">
        <v>0.8</v>
      </c>
      <c r="H685" s="5">
        <v>847.0032210000001</v>
      </c>
      <c r="I685" s="6">
        <v>14.7871</v>
      </c>
      <c r="J685" s="4">
        <v>0.298115</v>
      </c>
      <c r="K685" s="7">
        <v>0.9369</v>
      </c>
      <c r="L685" s="3">
        <v>39.64</v>
      </c>
      <c r="M685" s="3">
        <v>21.79</v>
      </c>
    </row>
    <row r="686" spans="1:13">
      <c r="A686" s="8" t="s">
        <v>697</v>
      </c>
      <c r="B686" s="2">
        <f>HYPERLINK("https://www.suredividend.com/sure-analysis-FSBW/","FS Bancorp, Inc.")</f>
        <v>0</v>
      </c>
      <c r="C686" s="1" t="s">
        <v>1962</v>
      </c>
      <c r="D686" s="3">
        <v>43</v>
      </c>
      <c r="E686" s="4">
        <v>0.02604651162790698</v>
      </c>
      <c r="F686" s="4">
        <v>0.02344</v>
      </c>
      <c r="G686" s="3">
        <v>1.34</v>
      </c>
      <c r="H686" s="5">
        <v>326.526805</v>
      </c>
      <c r="I686" s="6">
        <v>10.1067</v>
      </c>
      <c r="J686" s="4">
        <v>0.317847</v>
      </c>
      <c r="K686" s="7">
        <v>0.6793</v>
      </c>
      <c r="L686" s="3">
        <v>44.22</v>
      </c>
      <c r="M686" s="3">
        <v>33.68</v>
      </c>
    </row>
    <row r="687" spans="1:13">
      <c r="A687" s="8" t="s">
        <v>698</v>
      </c>
      <c r="B687" s="2">
        <f>HYPERLINK("https://www.suredividend.com/sure-analysis-research-database/","Fastly, Inc.")</f>
        <v>0</v>
      </c>
      <c r="C687" s="1" t="s">
        <v>1960</v>
      </c>
      <c r="D687" s="3">
        <v>9</v>
      </c>
      <c r="F687" s="4">
        <v>0</v>
      </c>
      <c r="G687" s="3">
        <v>0</v>
      </c>
      <c r="H687" s="5">
        <v>1332.648</v>
      </c>
      <c r="J687" s="4">
        <v>0</v>
      </c>
      <c r="K687" s="7">
        <v>2.0895</v>
      </c>
      <c r="L687" s="3">
        <v>12.59</v>
      </c>
      <c r="M687" s="3">
        <v>4.65</v>
      </c>
    </row>
    <row r="688" spans="1:13">
      <c r="A688" s="8" t="s">
        <v>699</v>
      </c>
      <c r="B688" s="2">
        <f>HYPERLINK("https://www.suredividend.com/sure-analysis-research-database/","FRANKLIN STREET PROPERTIES CORP /MA/")</f>
        <v>0</v>
      </c>
      <c r="C688" s="1" t="s">
        <v>1961</v>
      </c>
      <c r="D688" s="3">
        <v>0.9379999999999999</v>
      </c>
      <c r="E688" s="4">
        <v>0.04</v>
      </c>
      <c r="F688" s="4">
        <v>0.21932</v>
      </c>
      <c r="G688" s="3">
        <v>0.04</v>
      </c>
      <c r="H688" s="5">
        <v>94.617435</v>
      </c>
      <c r="K688" s="7">
        <v>1.0981</v>
      </c>
      <c r="L688" s="3">
        <v>2.05</v>
      </c>
      <c r="M688" s="3">
        <v>0.85</v>
      </c>
    </row>
    <row r="689" spans="1:13">
      <c r="A689" s="8" t="s">
        <v>700</v>
      </c>
      <c r="B689" s="2">
        <f>HYPERLINK("https://www.suredividend.com/sure-analysis-research-database/","FEDERAL SIGNAL CORP /DE/")</f>
        <v>0</v>
      </c>
      <c r="C689" s="1" t="s">
        <v>1964</v>
      </c>
      <c r="D689" s="3">
        <v>114.56</v>
      </c>
      <c r="F689" s="4">
        <v>0.00378</v>
      </c>
      <c r="G689" s="3">
        <v>0.5600000000000001</v>
      </c>
      <c r="H689" s="5">
        <v>6966.230581</v>
      </c>
      <c r="I689" s="6">
        <v>29.543</v>
      </c>
      <c r="J689" s="4">
        <v>0.139525</v>
      </c>
      <c r="K689" s="7">
        <v>1.1577</v>
      </c>
      <c r="L689" s="3">
        <v>132.72</v>
      </c>
      <c r="M689" s="3">
        <v>66.20999999999999</v>
      </c>
    </row>
    <row r="690" spans="1:13">
      <c r="A690" s="8" t="s">
        <v>701</v>
      </c>
      <c r="B690" s="2">
        <f>HYPERLINK("https://www.suredividend.com/sure-analysis-research-database/","FOSTER L B CO")</f>
        <v>0</v>
      </c>
      <c r="C690" s="1" t="s">
        <v>1964</v>
      </c>
      <c r="D690" s="3">
        <v>29.57</v>
      </c>
      <c r="F690" s="4">
        <v>0</v>
      </c>
      <c r="G690" s="3">
        <v>0.16</v>
      </c>
      <c r="H690" s="5">
        <v>307.217346</v>
      </c>
      <c r="I690" s="6">
        <v>62.8642</v>
      </c>
      <c r="J690" s="4">
        <v>0</v>
      </c>
      <c r="K690" s="7">
        <v>0.9641</v>
      </c>
      <c r="L690" s="3">
        <v>29.85</v>
      </c>
      <c r="M690" s="3">
        <v>17.16</v>
      </c>
    </row>
    <row r="691" spans="1:13">
      <c r="A691" s="8" t="s">
        <v>702</v>
      </c>
      <c r="B691" s="2">
        <f>HYPERLINK("https://www.suredividend.com/sure-analysis-research-database/","FTAI Aviation Ltd.")</f>
        <v>0</v>
      </c>
      <c r="C691" s="1" t="s">
        <v>1964</v>
      </c>
      <c r="D691" s="3">
        <v>294.94</v>
      </c>
      <c r="F691" s="4">
        <v>0.00521</v>
      </c>
      <c r="G691" s="3">
        <v>1.25</v>
      </c>
      <c r="H691" s="5">
        <v>29438.429475</v>
      </c>
      <c r="I691" s="6">
        <v>65.0812</v>
      </c>
      <c r="J691" s="4">
        <v>0.294764</v>
      </c>
      <c r="K691" s="7">
        <v>1.0366</v>
      </c>
      <c r="L691" s="3">
        <v>281.12</v>
      </c>
      <c r="M691" s="3">
        <v>74.33</v>
      </c>
    </row>
    <row r="692" spans="1:13">
      <c r="A692" s="8" t="s">
        <v>703</v>
      </c>
      <c r="B692" s="2">
        <f>HYPERLINK("https://www.suredividend.com/sure-analysis-research-database/","Frontdoor, Inc.")</f>
        <v>0</v>
      </c>
      <c r="C692" s="1" t="s">
        <v>1963</v>
      </c>
      <c r="D692" s="3">
        <v>60.7</v>
      </c>
      <c r="F692" s="4">
        <v>0</v>
      </c>
      <c r="G692" s="3">
        <v>0</v>
      </c>
      <c r="H692" s="5">
        <v>4382.319103</v>
      </c>
      <c r="I692" s="6">
        <v>17.7422</v>
      </c>
      <c r="J692" s="4">
        <v>0</v>
      </c>
      <c r="K692" s="7">
        <v>1.2058</v>
      </c>
      <c r="L692" s="3">
        <v>70.14</v>
      </c>
      <c r="M692" s="3">
        <v>35.61</v>
      </c>
    </row>
    <row r="693" spans="1:13">
      <c r="A693" s="8" t="s">
        <v>704</v>
      </c>
      <c r="B693" s="2">
        <f>HYPERLINK("https://www.suredividend.com/sure-analysis-research-database/","fuboTV Inc. /FL")</f>
        <v>0</v>
      </c>
      <c r="C693" s="1" t="s">
        <v>1959</v>
      </c>
      <c r="D693" s="3">
        <v>2.58</v>
      </c>
      <c r="F693" s="4">
        <v>0</v>
      </c>
      <c r="G693" s="3">
        <v>0</v>
      </c>
      <c r="H693" s="5">
        <v>3329.837085</v>
      </c>
      <c r="I693" s="6">
        <v>27.0613</v>
      </c>
      <c r="J693" s="4">
        <v>0</v>
      </c>
      <c r="K693" s="7">
        <v>0.4748</v>
      </c>
      <c r="L693" s="3">
        <v>4.72</v>
      </c>
      <c r="M693" s="3">
        <v>2.28</v>
      </c>
    </row>
    <row r="694" spans="1:13">
      <c r="A694" s="8" t="s">
        <v>705</v>
      </c>
      <c r="B694" s="2">
        <f>HYPERLINK("https://www.suredividend.com/sure-analysis-FUL/","FULLER H B CO")</f>
        <v>0</v>
      </c>
      <c r="C694" s="1" t="s">
        <v>1970</v>
      </c>
      <c r="D694" s="3">
        <v>59.46</v>
      </c>
      <c r="E694" s="4">
        <v>0.01580894719138917</v>
      </c>
      <c r="F694" s="4">
        <v>0.013</v>
      </c>
      <c r="G694" s="3">
        <v>0</v>
      </c>
      <c r="H694" s="5">
        <v>3217.748007</v>
      </c>
      <c r="I694" s="6">
        <v>28.0106</v>
      </c>
      <c r="J694" s="4">
        <v>0.431987</v>
      </c>
    </row>
    <row r="695" spans="1:13">
      <c r="A695" s="8" t="s">
        <v>706</v>
      </c>
      <c r="B695" s="2">
        <f>HYPERLINK("https://www.suredividend.com/sure-analysis-research-database/","Fulcrum Therapeutics, Inc.")</f>
        <v>0</v>
      </c>
      <c r="C695" s="1" t="s">
        <v>1965</v>
      </c>
      <c r="D695" s="3">
        <v>10.73</v>
      </c>
      <c r="G695" s="3">
        <v>0</v>
      </c>
      <c r="H695" s="5">
        <v>563.914124</v>
      </c>
      <c r="J695" s="4">
        <v>0</v>
      </c>
      <c r="K695" s="7">
        <v>1.5596</v>
      </c>
      <c r="L695" s="3">
        <v>15.74</v>
      </c>
      <c r="M695" s="3">
        <v>2.32</v>
      </c>
    </row>
    <row r="696" spans="1:13">
      <c r="A696" s="8" t="s">
        <v>707</v>
      </c>
      <c r="B696" s="2">
        <f>HYPERLINK("https://www.suredividend.com/sure-analysis-FULT/","FULTON FINANCIAL CORP")</f>
        <v>0</v>
      </c>
      <c r="C696" s="1" t="s">
        <v>1962</v>
      </c>
      <c r="D696" s="3">
        <v>21.01</v>
      </c>
      <c r="E696" s="4">
        <v>0.0361732508329367</v>
      </c>
      <c r="F696" s="4">
        <v>0.03363</v>
      </c>
      <c r="G696" s="3">
        <v>0.73</v>
      </c>
      <c r="H696" s="5">
        <v>3703.978776</v>
      </c>
      <c r="I696" s="6">
        <v>10.5523</v>
      </c>
      <c r="J696" s="4">
        <v>0.392216</v>
      </c>
      <c r="K696" s="7">
        <v>1.1698</v>
      </c>
      <c r="L696" s="3">
        <v>20.57</v>
      </c>
      <c r="M696" s="3">
        <v>13.91</v>
      </c>
    </row>
    <row r="697" spans="1:13">
      <c r="A697" s="8" t="s">
        <v>708</v>
      </c>
      <c r="B697" s="2">
        <f>HYPERLINK("https://www.suredividend.com/sure-analysis-research-database/","Six Flags Entertainment Corporation/NEW")</f>
        <v>0</v>
      </c>
      <c r="C697" s="1" t="s">
        <v>1963</v>
      </c>
      <c r="D697" s="3">
        <v>17.4</v>
      </c>
      <c r="F697" s="4">
        <v>0</v>
      </c>
      <c r="G697" s="3">
        <v>0</v>
      </c>
      <c r="H697" s="5">
        <v>1765.653673</v>
      </c>
      <c r="K697" s="7">
        <v>0.9371</v>
      </c>
      <c r="L697" s="3">
        <v>48.8</v>
      </c>
      <c r="M697" s="3">
        <v>12.51</v>
      </c>
    </row>
    <row r="698" spans="1:13">
      <c r="A698" s="8" t="s">
        <v>709</v>
      </c>
      <c r="B698" s="2">
        <f>HYPERLINK("https://www.suredividend.com/sure-analysis-research-database/","FVCBankcorp, Inc.")</f>
        <v>0</v>
      </c>
      <c r="C698" s="1" t="s">
        <v>1962</v>
      </c>
      <c r="D698" s="3">
        <v>15.1</v>
      </c>
      <c r="E698" s="4">
        <v>0.01</v>
      </c>
      <c r="F698" s="4">
        <v>0.00176</v>
      </c>
      <c r="G698" s="3">
        <v>0.12</v>
      </c>
      <c r="H698" s="5">
        <v>272.929691</v>
      </c>
      <c r="I698" s="6">
        <v>12.807</v>
      </c>
      <c r="J698" s="4">
        <v>0</v>
      </c>
      <c r="K698" s="7">
        <v>0.9009</v>
      </c>
      <c r="L698" s="3">
        <v>15.32</v>
      </c>
      <c r="M698" s="3">
        <v>9.4</v>
      </c>
    </row>
    <row r="699" spans="1:13">
      <c r="A699" s="8" t="s">
        <v>710</v>
      </c>
      <c r="B699" s="2">
        <f>HYPERLINK("https://www.suredividend.com/sure-analysis-research-database/","FrontView REIT Inc.")</f>
        <v>0</v>
      </c>
      <c r="C699" s="1" t="s">
        <v>1959</v>
      </c>
      <c r="D699" s="3">
        <v>16.25</v>
      </c>
      <c r="E699" s="4">
        <v>0.05</v>
      </c>
      <c r="F699" s="4">
        <v>0.01362</v>
      </c>
      <c r="G699" s="3">
        <v>0.86</v>
      </c>
      <c r="H699" s="5">
        <v>451.200001</v>
      </c>
      <c r="K699" s="7">
        <v>0.5346</v>
      </c>
      <c r="L699" s="3">
        <v>17.04</v>
      </c>
      <c r="M699" s="3">
        <v>10.12</v>
      </c>
    </row>
    <row r="700" spans="1:13">
      <c r="A700" s="8" t="s">
        <v>711</v>
      </c>
      <c r="B700" s="2">
        <f>HYPERLINK("https://www.suredividend.com/sure-analysis-research-database/","FORWARD AIR CORP")</f>
        <v>0</v>
      </c>
      <c r="C700" s="1" t="s">
        <v>1964</v>
      </c>
      <c r="D700" s="3">
        <v>28.53</v>
      </c>
      <c r="F700" s="4">
        <v>0.02112</v>
      </c>
      <c r="G700" s="3">
        <v>0.96</v>
      </c>
      <c r="H700" s="5">
        <v>892.7620449999999</v>
      </c>
      <c r="J700" s="4">
        <v>0</v>
      </c>
      <c r="K700" s="7">
        <v>1.6653</v>
      </c>
      <c r="L700" s="3">
        <v>35.47</v>
      </c>
      <c r="M700" s="3">
        <v>9.789999999999999</v>
      </c>
    </row>
    <row r="701" spans="1:13">
      <c r="A701" s="8" t="s">
        <v>712</v>
      </c>
      <c r="B701" s="2">
        <f>HYPERLINK("https://www.suredividend.com/sure-analysis-research-database/","First Watch Restaurant Group, Inc.")</f>
        <v>0</v>
      </c>
      <c r="C701" s="1" t="s">
        <v>1959</v>
      </c>
      <c r="D701" s="3">
        <v>16.695</v>
      </c>
      <c r="F701" s="4">
        <v>0</v>
      </c>
      <c r="G701" s="3">
        <v>0</v>
      </c>
      <c r="H701" s="5">
        <v>1019.846475</v>
      </c>
      <c r="I701" s="6">
        <v>205.3244</v>
      </c>
      <c r="J701" s="4">
        <v>0</v>
      </c>
      <c r="K701" s="7">
        <v>0.9519</v>
      </c>
      <c r="L701" s="3">
        <v>22.71</v>
      </c>
      <c r="M701" s="3">
        <v>12.9</v>
      </c>
    </row>
    <row r="702" spans="1:13">
      <c r="A702" s="8" t="s">
        <v>713</v>
      </c>
      <c r="B702" s="2">
        <f>HYPERLINK("https://www.suredividend.com/sure-analysis-GABC/","GERMAN AMERICAN BANCORP, INC.")</f>
        <v>0</v>
      </c>
      <c r="C702" s="1" t="s">
        <v>1962</v>
      </c>
      <c r="D702" s="3">
        <v>41.57</v>
      </c>
      <c r="E702" s="4">
        <v>0.02790473899446716</v>
      </c>
      <c r="F702" s="4">
        <v>0.02517</v>
      </c>
      <c r="G702" s="3">
        <v>1.16</v>
      </c>
      <c r="H702" s="5">
        <v>1559.658755</v>
      </c>
      <c r="I702" s="6">
        <v>15.5712</v>
      </c>
      <c r="J702" s="4">
        <v>0.403512</v>
      </c>
      <c r="K702" s="7">
        <v>0.6701</v>
      </c>
      <c r="L702" s="3">
        <v>42.09</v>
      </c>
      <c r="M702" s="3">
        <v>32.03</v>
      </c>
    </row>
    <row r="703" spans="1:13">
      <c r="A703" s="8" t="s">
        <v>714</v>
      </c>
      <c r="B703" s="2">
        <f>HYPERLINK("https://www.suredividend.com/sure-analysis-research-database/","GALECTIN THERAPEUTICS INC")</f>
        <v>0</v>
      </c>
      <c r="C703" s="1" t="s">
        <v>1965</v>
      </c>
      <c r="D703" s="3">
        <v>3.18</v>
      </c>
      <c r="F703" s="4">
        <v>0</v>
      </c>
      <c r="G703" s="3">
        <v>0</v>
      </c>
      <c r="J703" s="4">
        <v>0</v>
      </c>
      <c r="K703" s="7">
        <v>0.8468</v>
      </c>
      <c r="L703" s="3">
        <v>7.13</v>
      </c>
      <c r="M703" s="3">
        <v>1.12</v>
      </c>
    </row>
    <row r="704" spans="1:13">
      <c r="A704" s="8" t="s">
        <v>715</v>
      </c>
      <c r="B704" s="2">
        <f>HYPERLINK("https://www.suredividend.com/sure-analysis-research-database/","Gambling.com Group Ltd")</f>
        <v>0</v>
      </c>
      <c r="C704" s="1" t="s">
        <v>1959</v>
      </c>
      <c r="D704" s="3">
        <v>4.88</v>
      </c>
      <c r="F704" s="4">
        <v>0</v>
      </c>
      <c r="G704" s="3">
        <v>0</v>
      </c>
      <c r="H704" s="5">
        <v>169.295318</v>
      </c>
      <c r="I704" s="6">
        <v>7.0323</v>
      </c>
      <c r="J704" s="4">
        <v>0</v>
      </c>
      <c r="K704" s="7">
        <v>0.6959</v>
      </c>
      <c r="L704" s="3">
        <v>17.14</v>
      </c>
      <c r="M704" s="3">
        <v>4.6</v>
      </c>
    </row>
    <row r="705" spans="1:13">
      <c r="A705" s="8" t="s">
        <v>716</v>
      </c>
      <c r="B705" s="2">
        <f>HYPERLINK("https://www.suredividend.com/sure-analysis-GATX/","GATX CORP")</f>
        <v>0</v>
      </c>
      <c r="C705" s="1" t="s">
        <v>1964</v>
      </c>
      <c r="D705" s="3">
        <v>183.485</v>
      </c>
      <c r="E705" s="4">
        <v>0.01329808976210589</v>
      </c>
      <c r="F705" s="4">
        <v>0.0126</v>
      </c>
      <c r="G705" s="3">
        <v>2.44</v>
      </c>
      <c r="H705" s="5">
        <v>6545.238</v>
      </c>
      <c r="I705" s="6">
        <v>20.9247</v>
      </c>
      <c r="J705" s="4">
        <v>0.283568</v>
      </c>
      <c r="K705" s="7">
        <v>0.8702</v>
      </c>
      <c r="L705" s="3">
        <v>180.33</v>
      </c>
      <c r="M705" s="3">
        <v>137.89</v>
      </c>
    </row>
    <row r="706" spans="1:13">
      <c r="A706" s="8" t="s">
        <v>717</v>
      </c>
      <c r="B706" s="2">
        <f>HYPERLINK("https://www.suredividend.com/sure-analysis-research-database/","GLACIER BANCORP, INC.")</f>
        <v>0</v>
      </c>
      <c r="C706" s="1" t="s">
        <v>1962</v>
      </c>
      <c r="D706" s="3">
        <v>49</v>
      </c>
      <c r="E706" s="4">
        <v>0.03</v>
      </c>
      <c r="F706" s="4">
        <v>0.02879</v>
      </c>
      <c r="G706" s="3">
        <v>1.32</v>
      </c>
      <c r="H706" s="5">
        <v>6454.18755</v>
      </c>
      <c r="I706" s="6">
        <v>27.2325</v>
      </c>
      <c r="J706" s="4">
        <v>0.640625</v>
      </c>
      <c r="K706" s="7">
        <v>1.0128</v>
      </c>
      <c r="L706" s="3">
        <v>50.89</v>
      </c>
      <c r="M706" s="3">
        <v>35.86</v>
      </c>
    </row>
    <row r="707" spans="1:13">
      <c r="A707" s="8" t="s">
        <v>718</v>
      </c>
      <c r="B707" s="2">
        <f>HYPERLINK("https://www.suredividend.com/sure-analysis-research-database/","Generation Bio Co.")</f>
        <v>0</v>
      </c>
      <c r="C707" s="1" t="s">
        <v>1959</v>
      </c>
      <c r="D707" s="3">
        <v>5.5</v>
      </c>
      <c r="F707" s="4">
        <v>0</v>
      </c>
      <c r="G707" s="3">
        <v>0</v>
      </c>
      <c r="H707" s="5">
        <v>36.788929</v>
      </c>
      <c r="J707" s="4">
        <v>0</v>
      </c>
      <c r="K707" s="7">
        <v>2.6322</v>
      </c>
      <c r="L707" s="3">
        <v>10.2</v>
      </c>
      <c r="M707" s="3">
        <v>3</v>
      </c>
    </row>
    <row r="708" spans="1:13">
      <c r="A708" s="8" t="s">
        <v>719</v>
      </c>
      <c r="B708" s="2">
        <f>HYPERLINK("https://www.suredividend.com/sure-analysis-research-database/","Global Business Travel Group, Inc.")</f>
        <v>0</v>
      </c>
      <c r="C708" s="1" t="s">
        <v>1959</v>
      </c>
      <c r="D708" s="3">
        <v>7.56</v>
      </c>
      <c r="F708" s="4">
        <v>0</v>
      </c>
      <c r="G708" s="3">
        <v>0</v>
      </c>
      <c r="H708" s="5">
        <v>3957.857565</v>
      </c>
      <c r="I708" s="6">
        <v>395.7858</v>
      </c>
      <c r="J708" s="4">
        <v>0</v>
      </c>
      <c r="K708" s="7">
        <v>1.1257</v>
      </c>
      <c r="L708" s="3">
        <v>9.07</v>
      </c>
      <c r="M708" s="3">
        <v>5.78</v>
      </c>
    </row>
    <row r="709" spans="1:13">
      <c r="A709" s="8" t="s">
        <v>720</v>
      </c>
      <c r="B709" s="2">
        <f>HYPERLINK("https://www.suredividend.com/sure-analysis-research-database/","GREENBRIER COMPANIES INC")</f>
        <v>0</v>
      </c>
      <c r="C709" s="1" t="s">
        <v>1964</v>
      </c>
      <c r="D709" s="3">
        <v>50.48</v>
      </c>
      <c r="E709" s="4">
        <v>0.03</v>
      </c>
      <c r="F709" s="4">
        <v>0.02276</v>
      </c>
      <c r="G709" s="3">
        <v>1.26</v>
      </c>
      <c r="H709" s="5">
        <v>1548.941074</v>
      </c>
      <c r="I709" s="6">
        <v>9.3705</v>
      </c>
      <c r="J709" s="4">
        <v>0.25905</v>
      </c>
      <c r="K709" s="7">
        <v>1.0846</v>
      </c>
      <c r="L709" s="3">
        <v>69.22</v>
      </c>
      <c r="M709" s="3">
        <v>36.96</v>
      </c>
    </row>
    <row r="710" spans="1:13">
      <c r="A710" s="8" t="s">
        <v>721</v>
      </c>
      <c r="B710" s="2">
        <f>HYPERLINK("https://www.suredividend.com/sure-analysis-GCBC/","GREENE COUNTY BANCORP INC")</f>
        <v>0</v>
      </c>
      <c r="C710" s="1" t="s">
        <v>1962</v>
      </c>
      <c r="D710" s="3">
        <v>22.58</v>
      </c>
      <c r="E710" s="4">
        <v>0.01771479185119575</v>
      </c>
      <c r="F710" s="4">
        <v>0.01147</v>
      </c>
      <c r="G710" s="3">
        <v>0.38</v>
      </c>
      <c r="J710" s="4">
        <v>0.110321</v>
      </c>
      <c r="K710" s="7">
        <v>0.3956</v>
      </c>
      <c r="L710" s="3">
        <v>27.28</v>
      </c>
      <c r="M710" s="3">
        <v>19.75</v>
      </c>
    </row>
    <row r="711" spans="1:13">
      <c r="A711" s="8" t="s">
        <v>722</v>
      </c>
      <c r="B711" s="2">
        <f>HYPERLINK("https://www.suredividend.com/sure-analysis-research-database/","Gannett Co., Inc.")</f>
        <v>0</v>
      </c>
      <c r="C711" s="1" t="s">
        <v>1968</v>
      </c>
      <c r="D711" s="3">
        <v>5.92</v>
      </c>
      <c r="F711" s="4">
        <v>0</v>
      </c>
      <c r="G711" s="3">
        <v>0.8</v>
      </c>
      <c r="H711" s="5">
        <v>262.613788</v>
      </c>
      <c r="I711" s="6">
        <v>23.3975</v>
      </c>
      <c r="K711" s="7">
        <v>2.6569</v>
      </c>
    </row>
    <row r="712" spans="1:13">
      <c r="A712" s="8" t="s">
        <v>723</v>
      </c>
      <c r="B712" s="2">
        <f>HYPERLINK("https://www.suredividend.com/sure-analysis-research-database/","GCM Grosvenor Inc.")</f>
        <v>0</v>
      </c>
      <c r="C712" s="1" t="s">
        <v>1959</v>
      </c>
      <c r="D712" s="3">
        <v>11.76</v>
      </c>
      <c r="E712" s="4">
        <v>0.04</v>
      </c>
      <c r="F712" s="4">
        <v>0.03557</v>
      </c>
      <c r="G712" s="3">
        <v>0.45</v>
      </c>
      <c r="H712" s="5">
        <v>2285.691981</v>
      </c>
      <c r="I712" s="6">
        <v>67.20650000000001</v>
      </c>
      <c r="J712" s="4">
        <v>1.069483</v>
      </c>
      <c r="K712" s="7">
        <v>0.7412</v>
      </c>
      <c r="L712" s="3">
        <v>13.97</v>
      </c>
      <c r="M712" s="3">
        <v>10.12</v>
      </c>
    </row>
    <row r="713" spans="1:13">
      <c r="A713" s="8" t="s">
        <v>724</v>
      </c>
      <c r="B713" s="2">
        <f>HYPERLINK("https://www.suredividend.com/sure-analysis-research-database/","GENESCO INC")</f>
        <v>0</v>
      </c>
      <c r="C713" s="1" t="s">
        <v>1963</v>
      </c>
      <c r="D713" s="3">
        <v>38.305</v>
      </c>
      <c r="F713" s="4">
        <v>0</v>
      </c>
      <c r="G713" s="3">
        <v>0</v>
      </c>
      <c r="H713" s="5">
        <v>412.282515</v>
      </c>
      <c r="I713" s="6">
        <v>10571.3465</v>
      </c>
      <c r="J713" s="4">
        <v>0</v>
      </c>
      <c r="K713" s="7">
        <v>1.9625</v>
      </c>
      <c r="L713" s="3">
        <v>43.81</v>
      </c>
      <c r="M713" s="3">
        <v>16.19</v>
      </c>
    </row>
    <row r="714" spans="1:13">
      <c r="A714" s="8" t="s">
        <v>725</v>
      </c>
      <c r="B714" s="2">
        <f>HYPERLINK("https://www.suredividend.com/sure-analysis-research-database/","GigaCloud Technology Inc")</f>
        <v>0</v>
      </c>
      <c r="C714" s="1" t="s">
        <v>1959</v>
      </c>
      <c r="D714" s="3">
        <v>39.7</v>
      </c>
      <c r="F714" s="4">
        <v>0</v>
      </c>
      <c r="G714" s="3">
        <v>0</v>
      </c>
      <c r="H714" s="5">
        <v>2937.858664</v>
      </c>
      <c r="I714" s="6">
        <v>22.6282</v>
      </c>
      <c r="J714" s="4">
        <v>0</v>
      </c>
      <c r="L714" s="3">
        <v>44.71</v>
      </c>
      <c r="M714" s="3">
        <v>11.17</v>
      </c>
    </row>
    <row r="715" spans="1:13">
      <c r="A715" s="8" t="s">
        <v>726</v>
      </c>
      <c r="B715" s="2">
        <f>HYPERLINK("https://www.suredividend.com/sure-analysis-research-database/","GCT Semiconductor Holding, Inc.")</f>
        <v>0</v>
      </c>
      <c r="C715" s="1" t="s">
        <v>1959</v>
      </c>
      <c r="D715" s="3">
        <v>1.05</v>
      </c>
      <c r="F715" s="4">
        <v>0</v>
      </c>
      <c r="G715" s="3">
        <v>0</v>
      </c>
      <c r="H715" s="5">
        <v>60.525531</v>
      </c>
      <c r="J715" s="4">
        <v>0</v>
      </c>
      <c r="K715" s="7">
        <v>2.2801</v>
      </c>
    </row>
    <row r="716" spans="1:13">
      <c r="A716" s="8" t="s">
        <v>727</v>
      </c>
      <c r="B716" s="2">
        <f>HYPERLINK("https://www.suredividend.com/sure-analysis-research-database/","GOLDEN ENTERTAINMENT, INC.")</f>
        <v>0</v>
      </c>
      <c r="C716" s="1" t="s">
        <v>1963</v>
      </c>
      <c r="D716" s="3">
        <v>27.61</v>
      </c>
      <c r="E716" s="4">
        <v>0.04</v>
      </c>
      <c r="F716" s="4">
        <v>0.0296</v>
      </c>
      <c r="G716" s="3">
        <v>1</v>
      </c>
      <c r="H716" s="5">
        <v>723.710685</v>
      </c>
      <c r="I716" s="6">
        <v>132.7666</v>
      </c>
      <c r="J716" s="4">
        <v>4.907907</v>
      </c>
      <c r="K716" s="7">
        <v>0.8443000000000001</v>
      </c>
      <c r="L716" s="3">
        <v>34.2</v>
      </c>
      <c r="M716" s="3">
        <v>19.39</v>
      </c>
    </row>
    <row r="717" spans="1:13">
      <c r="A717" s="8" t="s">
        <v>728</v>
      </c>
      <c r="B717" s="2">
        <f>HYPERLINK("https://www.suredividend.com/sure-analysis-research-database/","GREEN DOT CORP")</f>
        <v>0</v>
      </c>
      <c r="C717" s="1" t="s">
        <v>1962</v>
      </c>
      <c r="D717" s="3">
        <v>12.14</v>
      </c>
      <c r="F717" s="4">
        <v>0</v>
      </c>
      <c r="G717" s="3">
        <v>0</v>
      </c>
      <c r="H717" s="5">
        <v>673.3823180000001</v>
      </c>
      <c r="J717" s="4">
        <v>0</v>
      </c>
      <c r="K717" s="7">
        <v>1.0406</v>
      </c>
      <c r="L717" s="3">
        <v>15.41</v>
      </c>
      <c r="M717" s="3">
        <v>6.12</v>
      </c>
    </row>
    <row r="718" spans="1:13">
      <c r="A718" s="8" t="s">
        <v>729</v>
      </c>
      <c r="B718" s="2">
        <f>HYPERLINK("https://www.suredividend.com/sure-analysis-research-database/","GRID DYNAMICS HOLDINGS, INC.")</f>
        <v>0</v>
      </c>
      <c r="C718" s="1" t="s">
        <v>1960</v>
      </c>
      <c r="D718" s="3">
        <v>8.869999999999999</v>
      </c>
      <c r="F718" s="4">
        <v>0</v>
      </c>
      <c r="G718" s="3">
        <v>0</v>
      </c>
      <c r="H718" s="5">
        <v>740.033876</v>
      </c>
      <c r="I718" s="6">
        <v>48.0729</v>
      </c>
      <c r="J718" s="4">
        <v>0</v>
      </c>
      <c r="K718" s="7">
        <v>1.4641</v>
      </c>
      <c r="L718" s="3">
        <v>25.5</v>
      </c>
      <c r="M718" s="3">
        <v>7.37</v>
      </c>
    </row>
    <row r="719" spans="1:13">
      <c r="A719" s="8" t="s">
        <v>730</v>
      </c>
      <c r="B719" s="2">
        <f>HYPERLINK("https://www.suredividend.com/sure-analysis-GEF/","GREIF, INC")</f>
        <v>0</v>
      </c>
      <c r="C719" s="1" t="s">
        <v>1963</v>
      </c>
      <c r="D719" s="3">
        <v>71.89</v>
      </c>
      <c r="E719" s="4">
        <v>0.0311587147030185</v>
      </c>
      <c r="F719" s="4">
        <v>0.02902</v>
      </c>
      <c r="G719" s="3">
        <v>2.2</v>
      </c>
      <c r="H719" s="5">
        <v>3414.851994</v>
      </c>
      <c r="I719" s="6">
        <v>17.9729</v>
      </c>
      <c r="J719" s="4">
        <v>0.682094</v>
      </c>
      <c r="K719" s="7">
        <v>0.8777</v>
      </c>
      <c r="L719" s="3">
        <v>72.45</v>
      </c>
      <c r="M719" s="3">
        <v>47.01</v>
      </c>
    </row>
    <row r="720" spans="1:13">
      <c r="A720" s="8" t="s">
        <v>731</v>
      </c>
      <c r="B720" s="2">
        <f>HYPERLINK("https://www.suredividend.com/sure-analysis-research-database/","GREIF, INC")</f>
        <v>0</v>
      </c>
      <c r="C720" s="1" t="s">
        <v>1959</v>
      </c>
      <c r="D720" s="3">
        <v>83.04000000000001</v>
      </c>
      <c r="E720" s="4">
        <v>0.03</v>
      </c>
      <c r="F720" s="4">
        <v>0.03864</v>
      </c>
      <c r="G720" s="3">
        <v>3.29</v>
      </c>
      <c r="H720" s="5">
        <v>3414.851994</v>
      </c>
      <c r="I720" s="6">
        <v>17.9729</v>
      </c>
      <c r="J720" s="4">
        <v>0.682094</v>
      </c>
      <c r="K720" s="7">
        <v>0.9253</v>
      </c>
      <c r="L720" s="3">
        <v>84.13</v>
      </c>
      <c r="M720" s="3">
        <v>50.49</v>
      </c>
    </row>
    <row r="721" spans="1:13">
      <c r="A721" s="8" t="s">
        <v>732</v>
      </c>
      <c r="B721" s="2">
        <f>HYPERLINK("https://www.suredividend.com/sure-analysis-research-database/","GENCOR INDUSTRIES INC")</f>
        <v>0</v>
      </c>
      <c r="C721" s="1" t="s">
        <v>1964</v>
      </c>
      <c r="D721" s="3">
        <v>14.13</v>
      </c>
      <c r="F721" s="4">
        <v>0</v>
      </c>
      <c r="G721" s="3">
        <v>0.05</v>
      </c>
      <c r="H721" s="5">
        <v>205.647559</v>
      </c>
      <c r="I721" s="6">
        <v>13.1312</v>
      </c>
      <c r="J721" s="4">
        <v>0</v>
      </c>
      <c r="K721" s="7">
        <v>0.762</v>
      </c>
      <c r="L721" s="3">
        <v>17.4</v>
      </c>
      <c r="M721" s="3">
        <v>10.8</v>
      </c>
    </row>
    <row r="722" spans="1:13">
      <c r="A722" s="8" t="s">
        <v>733</v>
      </c>
      <c r="B722" s="2">
        <f>HYPERLINK("https://www.suredividend.com/sure-analysis-research-database/","GEO GROUP INC")</f>
        <v>0</v>
      </c>
      <c r="C722" s="1" t="s">
        <v>1961</v>
      </c>
      <c r="D722" s="3">
        <v>17.82</v>
      </c>
      <c r="F722" s="4">
        <v>0.00309</v>
      </c>
      <c r="G722" s="3">
        <v>2.03</v>
      </c>
      <c r="H722" s="5">
        <v>2490.238785</v>
      </c>
      <c r="I722" s="6">
        <v>10.4589</v>
      </c>
      <c r="J722" s="4">
        <v>0</v>
      </c>
      <c r="K722" s="7">
        <v>1.366</v>
      </c>
      <c r="L722" s="3">
        <v>36.46</v>
      </c>
      <c r="M722" s="3">
        <v>14.27</v>
      </c>
    </row>
    <row r="723" spans="1:13">
      <c r="A723" s="8" t="s">
        <v>734</v>
      </c>
      <c r="B723" s="2">
        <f>HYPERLINK("https://www.suredividend.com/sure-analysis-research-database/","GEOSPACE TECHNOLOGIES CORP")</f>
        <v>0</v>
      </c>
      <c r="C723" s="1" t="s">
        <v>1969</v>
      </c>
      <c r="D723" s="3">
        <v>22.66</v>
      </c>
      <c r="F723" s="4">
        <v>0</v>
      </c>
      <c r="G723" s="3">
        <v>0</v>
      </c>
      <c r="H723" s="5">
        <v>289.427348</v>
      </c>
      <c r="J723" s="4">
        <v>0</v>
      </c>
      <c r="K723" s="7">
        <v>0.7999000000000001</v>
      </c>
      <c r="L723" s="3">
        <v>29.89</v>
      </c>
      <c r="M723" s="3">
        <v>5.51</v>
      </c>
    </row>
    <row r="724" spans="1:13">
      <c r="A724" s="8" t="s">
        <v>735</v>
      </c>
      <c r="B724" s="2">
        <f>HYPERLINK("https://www.suredividend.com/sure-analysis-research-database/","GERON CORP")</f>
        <v>0</v>
      </c>
      <c r="C724" s="1" t="s">
        <v>1965</v>
      </c>
      <c r="D724" s="3">
        <v>1.33</v>
      </c>
      <c r="F724" s="4">
        <v>0</v>
      </c>
      <c r="G724" s="3">
        <v>0</v>
      </c>
      <c r="H724" s="5">
        <v>855.396069</v>
      </c>
      <c r="J724" s="4">
        <v>0</v>
      </c>
      <c r="K724" s="7">
        <v>1.1585</v>
      </c>
      <c r="L724" s="3">
        <v>3.12</v>
      </c>
      <c r="M724" s="3">
        <v>1.04</v>
      </c>
    </row>
    <row r="725" spans="1:13">
      <c r="A725" s="8" t="s">
        <v>736</v>
      </c>
      <c r="B725" s="2">
        <f>HYPERLINK("https://www.suredividend.com/sure-analysis-research-database/","Getty Images Holdings, Inc.")</f>
        <v>0</v>
      </c>
      <c r="C725" s="1" t="s">
        <v>1959</v>
      </c>
      <c r="D725" s="3">
        <v>1.27</v>
      </c>
      <c r="F725" s="4">
        <v>0</v>
      </c>
      <c r="G725" s="3">
        <v>0</v>
      </c>
      <c r="H725" s="5">
        <v>527.309723</v>
      </c>
      <c r="J725" s="4">
        <v>0</v>
      </c>
      <c r="K725" s="7">
        <v>1.3297</v>
      </c>
      <c r="L725" s="3">
        <v>3.21</v>
      </c>
      <c r="M725" s="3">
        <v>1.2</v>
      </c>
    </row>
    <row r="726" spans="1:13">
      <c r="A726" s="8" t="s">
        <v>737</v>
      </c>
      <c r="B726" s="2">
        <f>HYPERLINK("https://www.suredividend.com/sure-analysis-GFF/","GRIFFON CORP")</f>
        <v>0</v>
      </c>
      <c r="C726" s="1" t="s">
        <v>1964</v>
      </c>
      <c r="D726" s="3">
        <v>85.62</v>
      </c>
      <c r="E726" s="4">
        <v>0.01027797243634665</v>
      </c>
      <c r="F726" s="4">
        <v>0.01727</v>
      </c>
      <c r="G726" s="3">
        <v>0.76</v>
      </c>
      <c r="H726" s="5">
        <v>3958.768151</v>
      </c>
      <c r="I726" s="6">
        <v>77.4558</v>
      </c>
      <c r="J726" s="4">
        <v>0.776599</v>
      </c>
      <c r="K726" s="7">
        <v>1.1679</v>
      </c>
      <c r="L726" s="3">
        <v>86.03</v>
      </c>
      <c r="M726" s="3">
        <v>63.42</v>
      </c>
    </row>
    <row r="727" spans="1:13">
      <c r="A727" s="8" t="s">
        <v>738</v>
      </c>
      <c r="B727" s="2">
        <f>HYPERLINK("https://www.suredividend.com/sure-analysis-research-database/","Guardant Health, Inc.")</f>
        <v>0</v>
      </c>
      <c r="C727" s="1" t="s">
        <v>1965</v>
      </c>
      <c r="D727" s="3">
        <v>116.01</v>
      </c>
      <c r="F727" s="4">
        <v>0</v>
      </c>
      <c r="G727" s="3">
        <v>0</v>
      </c>
      <c r="H727" s="5">
        <v>14589.256052</v>
      </c>
      <c r="J727" s="4">
        <v>0</v>
      </c>
      <c r="K727" s="7">
        <v>1.5321</v>
      </c>
      <c r="L727" s="3">
        <v>115.54</v>
      </c>
      <c r="M727" s="3">
        <v>34.88</v>
      </c>
    </row>
    <row r="728" spans="1:13">
      <c r="A728" s="8" t="s">
        <v>739</v>
      </c>
      <c r="B728" s="2">
        <f>HYPERLINK("https://www.suredividend.com/sure-analysis-GHC/","Graham Holdings Co")</f>
        <v>0</v>
      </c>
      <c r="C728" s="1" t="s">
        <v>1966</v>
      </c>
      <c r="D728" s="3">
        <v>1205</v>
      </c>
      <c r="E728" s="4">
        <v>0.006240663900414938</v>
      </c>
      <c r="F728" s="4">
        <v>0.00593</v>
      </c>
      <c r="G728" s="3">
        <v>7.2</v>
      </c>
      <c r="H728" s="5">
        <v>5207.68608</v>
      </c>
      <c r="I728" s="6">
        <v>7.1108</v>
      </c>
      <c r="J728" s="4">
        <v>0.301951</v>
      </c>
      <c r="K728" s="7">
        <v>0.8085</v>
      </c>
      <c r="L728" s="3">
        <v>1197.76</v>
      </c>
      <c r="M728" s="3">
        <v>870.49</v>
      </c>
    </row>
    <row r="729" spans="1:13">
      <c r="A729" s="8" t="s">
        <v>740</v>
      </c>
      <c r="B729" s="2">
        <f>HYPERLINK("https://www.suredividend.com/sure-analysis-research-database/","GRAHAM CORP")</f>
        <v>0</v>
      </c>
      <c r="C729" s="1" t="s">
        <v>1964</v>
      </c>
      <c r="D729" s="3">
        <v>74.5</v>
      </c>
      <c r="F729" s="4">
        <v>0.00133</v>
      </c>
      <c r="G729" s="3">
        <v>0.44</v>
      </c>
      <c r="H729" s="5">
        <v>818.932212</v>
      </c>
      <c r="I729" s="6">
        <v>113.1904</v>
      </c>
      <c r="J729" s="4">
        <v>0</v>
      </c>
      <c r="K729" s="7">
        <v>1.3955</v>
      </c>
      <c r="L729" s="3">
        <v>75.36</v>
      </c>
      <c r="M729" s="3">
        <v>24.78</v>
      </c>
    </row>
    <row r="730" spans="1:13">
      <c r="A730" s="8" t="s">
        <v>741</v>
      </c>
      <c r="B730" s="2">
        <f>HYPERLINK("https://www.suredividend.com/sure-analysis-GIC/","GLOBAL INDUSTRIAL Co")</f>
        <v>0</v>
      </c>
      <c r="C730" s="1" t="s">
        <v>1959</v>
      </c>
      <c r="D730" s="3">
        <v>31.43</v>
      </c>
      <c r="E730" s="4">
        <v>0.03308940502704422</v>
      </c>
      <c r="F730" s="4">
        <v>0.03563</v>
      </c>
      <c r="G730" s="3">
        <v>1.04</v>
      </c>
      <c r="H730" s="5">
        <v>1210.250668</v>
      </c>
      <c r="I730" s="6">
        <v>17.7456</v>
      </c>
      <c r="J730" s="4">
        <v>0.583578</v>
      </c>
      <c r="K730" s="7">
        <v>0.9742</v>
      </c>
      <c r="L730" s="3">
        <v>38.42</v>
      </c>
      <c r="M730" s="3">
        <v>20.23</v>
      </c>
    </row>
    <row r="731" spans="1:13">
      <c r="A731" s="8" t="s">
        <v>742</v>
      </c>
      <c r="B731" s="2">
        <f>HYPERLINK("https://www.suredividend.com/sure-analysis-research-database/","G III APPAREL GROUP LTD /DE/")</f>
        <v>0</v>
      </c>
      <c r="C731" s="1" t="s">
        <v>1963</v>
      </c>
      <c r="D731" s="3">
        <v>29.48</v>
      </c>
      <c r="F731" s="4">
        <v>0.00067</v>
      </c>
      <c r="G731" s="3">
        <v>0.1</v>
      </c>
      <c r="H731" s="5">
        <v>1245.005859</v>
      </c>
      <c r="I731" s="6">
        <v>9.866300000000001</v>
      </c>
      <c r="J731" s="4">
        <v>0</v>
      </c>
      <c r="K731" s="7">
        <v>0.6107</v>
      </c>
      <c r="L731" s="3">
        <v>34.72</v>
      </c>
      <c r="M731" s="3">
        <v>20.27</v>
      </c>
    </row>
    <row r="732" spans="1:13">
      <c r="A732" s="8" t="s">
        <v>743</v>
      </c>
      <c r="B732" s="2">
        <f>HYPERLINK("https://www.suredividend.com/sure-analysis-research-database/","GLAUKOS Corp")</f>
        <v>0</v>
      </c>
      <c r="C732" s="1" t="s">
        <v>1965</v>
      </c>
      <c r="D732" s="3">
        <v>124.29</v>
      </c>
      <c r="F732" s="4">
        <v>0</v>
      </c>
      <c r="G732" s="3">
        <v>0</v>
      </c>
      <c r="H732" s="5">
        <v>7131.097318</v>
      </c>
      <c r="J732" s="4">
        <v>0</v>
      </c>
      <c r="K732" s="7">
        <v>1.0394</v>
      </c>
      <c r="L732" s="3">
        <v>163.71</v>
      </c>
      <c r="M732" s="3">
        <v>73.16</v>
      </c>
    </row>
    <row r="733" spans="1:13">
      <c r="A733" s="8" t="s">
        <v>744</v>
      </c>
      <c r="B733" s="2">
        <f>HYPERLINK("https://www.suredividend.com/sure-analysis-research-database/","Great Lakes Dredge &amp; Dock CORP")</f>
        <v>0</v>
      </c>
      <c r="C733" s="1" t="s">
        <v>1964</v>
      </c>
      <c r="D733" s="3">
        <v>15.48</v>
      </c>
      <c r="F733" s="4">
        <v>0</v>
      </c>
      <c r="G733" s="3">
        <v>0.31</v>
      </c>
      <c r="H733" s="5">
        <v>1006.389714</v>
      </c>
      <c r="I733" s="6">
        <v>12.4938</v>
      </c>
      <c r="J733" s="4">
        <v>0</v>
      </c>
      <c r="K733" s="7">
        <v>1.0743</v>
      </c>
      <c r="L733" s="3">
        <v>15.83</v>
      </c>
      <c r="M733" s="3">
        <v>7.51</v>
      </c>
    </row>
    <row r="734" spans="1:13">
      <c r="A734" s="8" t="s">
        <v>745</v>
      </c>
      <c r="B734" s="2">
        <f>HYPERLINK("https://www.suredividend.com/sure-analysis-research-database/","GOLAR LNG LTD")</f>
        <v>0</v>
      </c>
      <c r="C734" s="1" t="s">
        <v>1969</v>
      </c>
      <c r="D734" s="3">
        <v>40.285</v>
      </c>
      <c r="E734" s="4">
        <v>0.03</v>
      </c>
      <c r="F734" s="4">
        <v>0.01433</v>
      </c>
      <c r="G734" s="3">
        <v>0</v>
      </c>
      <c r="H734" s="5">
        <v>4211.703184</v>
      </c>
      <c r="I734" s="6">
        <v>82.8439</v>
      </c>
      <c r="J734" s="4">
        <v>1.427747</v>
      </c>
      <c r="L734" s="3">
        <v>45.68</v>
      </c>
      <c r="M734" s="3">
        <v>29.03</v>
      </c>
    </row>
    <row r="735" spans="1:13">
      <c r="A735" s="8" t="s">
        <v>746</v>
      </c>
      <c r="B735" s="2">
        <f>HYPERLINK("https://www.suredividend.com/sure-analysis-research-database/","GREENLIGHT CAPITAL RE, LTD.")</f>
        <v>0</v>
      </c>
      <c r="C735" s="1" t="s">
        <v>1962</v>
      </c>
      <c r="D735" s="3">
        <v>13.5</v>
      </c>
      <c r="G735" s="3">
        <v>0</v>
      </c>
      <c r="H735" s="5">
        <v>460.339551</v>
      </c>
      <c r="J735" s="4">
        <v>0</v>
      </c>
      <c r="K735" s="7">
        <v>0.3726</v>
      </c>
    </row>
    <row r="736" spans="1:13">
      <c r="A736" s="8" t="s">
        <v>747</v>
      </c>
      <c r="B736" s="2">
        <f>HYPERLINK("https://www.suredividend.com/sure-analysis-research-database/","Greenwich LifeSciences, Inc.")</f>
        <v>0</v>
      </c>
      <c r="C736" s="1" t="s">
        <v>1959</v>
      </c>
      <c r="D736" s="3">
        <v>32.35</v>
      </c>
      <c r="F736" s="4">
        <v>0</v>
      </c>
      <c r="G736" s="3">
        <v>0</v>
      </c>
      <c r="H736" s="5">
        <v>308.95622</v>
      </c>
      <c r="J736" s="4">
        <v>0</v>
      </c>
      <c r="K736" s="7">
        <v>1.6221</v>
      </c>
      <c r="L736" s="3">
        <v>32.91</v>
      </c>
      <c r="M736" s="3">
        <v>7.78</v>
      </c>
    </row>
    <row r="737" spans="1:13">
      <c r="A737" s="8" t="s">
        <v>748</v>
      </c>
      <c r="B737" s="2">
        <f>HYPERLINK("https://www.suredividend.com/sure-analysis-research-database/","Monte Rosa Therapeutics, Inc.")</f>
        <v>0</v>
      </c>
      <c r="C737" s="1" t="s">
        <v>1959</v>
      </c>
      <c r="D737" s="3">
        <v>24.01</v>
      </c>
      <c r="F737" s="4">
        <v>0</v>
      </c>
      <c r="G737" s="3">
        <v>0</v>
      </c>
      <c r="H737" s="5">
        <v>1577.803349</v>
      </c>
      <c r="I737" s="6">
        <v>78.8074</v>
      </c>
      <c r="J737" s="4">
        <v>0</v>
      </c>
      <c r="K737" s="7">
        <v>2.108</v>
      </c>
      <c r="L737" s="3">
        <v>25.77</v>
      </c>
      <c r="M737" s="3">
        <v>3.5</v>
      </c>
    </row>
    <row r="738" spans="1:13">
      <c r="A738" s="8" t="s">
        <v>749</v>
      </c>
      <c r="B738" s="2">
        <f>HYPERLINK("https://www.suredividend.com/sure-analysis-research-database/","Golden Matrix Group, Inc.")</f>
        <v>0</v>
      </c>
      <c r="C738" s="1" t="s">
        <v>1968</v>
      </c>
      <c r="D738" s="3">
        <v>0.652</v>
      </c>
      <c r="F738" s="4">
        <v>0</v>
      </c>
      <c r="G738" s="3">
        <v>0</v>
      </c>
      <c r="H738" s="5">
        <v>23.43294</v>
      </c>
      <c r="J738" s="4">
        <v>0</v>
      </c>
      <c r="K738" s="7">
        <v>0.2446</v>
      </c>
      <c r="L738" s="3">
        <v>2.5</v>
      </c>
      <c r="M738" s="3">
        <v>0.58</v>
      </c>
    </row>
    <row r="739" spans="1:13">
      <c r="A739" s="8" t="s">
        <v>750</v>
      </c>
      <c r="B739" s="2">
        <f>HYPERLINK("https://www.suredividend.com/sure-analysis-research-database/","Global Medical REIT Inc.")</f>
        <v>0</v>
      </c>
      <c r="C739" s="1" t="s">
        <v>1961</v>
      </c>
      <c r="D739" s="3">
        <v>35.94</v>
      </c>
      <c r="E739" s="4">
        <v>0.09</v>
      </c>
      <c r="F739" s="4">
        <v>0.11461</v>
      </c>
      <c r="G739" s="3">
        <v>3.3</v>
      </c>
      <c r="H739" s="5">
        <v>482.798962</v>
      </c>
      <c r="J739" s="4">
        <v>28.290513</v>
      </c>
      <c r="K739" s="7">
        <v>0.8161</v>
      </c>
      <c r="L739" s="3">
        <v>41.71</v>
      </c>
      <c r="M739" s="3">
        <v>28.28</v>
      </c>
    </row>
    <row r="740" spans="1:13">
      <c r="A740" s="8" t="s">
        <v>751</v>
      </c>
      <c r="B740" s="2">
        <f>HYPERLINK("https://www.suredividend.com/sure-analysis-research-database/","")</f>
        <v>0</v>
      </c>
      <c r="C740" s="1" t="s">
        <v>1964</v>
      </c>
      <c r="D740" s="3">
        <v>109.97</v>
      </c>
      <c r="F740" s="4">
        <v>0</v>
      </c>
      <c r="G740" s="3">
        <v>0</v>
      </c>
      <c r="H740" s="5">
        <v>4197.141532</v>
      </c>
      <c r="I740" s="6">
        <v>41.237</v>
      </c>
      <c r="J740" s="4">
        <v>0</v>
      </c>
      <c r="K740" s="7">
        <v>1.0221</v>
      </c>
    </row>
    <row r="741" spans="1:13">
      <c r="A741" s="8" t="s">
        <v>752</v>
      </c>
      <c r="B741" s="2">
        <f>HYPERLINK("https://www.suredividend.com/sure-analysis-research-database/","Genie Energy Ltd.")</f>
        <v>0</v>
      </c>
      <c r="C741" s="1" t="s">
        <v>1967</v>
      </c>
      <c r="D741" s="3">
        <v>14.51</v>
      </c>
      <c r="E741" s="4">
        <v>0.02</v>
      </c>
      <c r="F741" s="4">
        <v>0.01811</v>
      </c>
      <c r="G741" s="3">
        <v>0.3</v>
      </c>
      <c r="H741" s="5">
        <v>384.441783</v>
      </c>
      <c r="J741" s="4">
        <v>1.818878</v>
      </c>
      <c r="K741" s="7">
        <v>0.2996</v>
      </c>
      <c r="L741" s="3">
        <v>28.19</v>
      </c>
      <c r="M741" s="3">
        <v>12.87</v>
      </c>
    </row>
    <row r="742" spans="1:13">
      <c r="A742" s="8" t="s">
        <v>753</v>
      </c>
      <c r="B742" s="2">
        <f>HYPERLINK("https://www.suredividend.com/sure-analysis-research-database/","GENCO SHIPPING &amp; TRADING LTD")</f>
        <v>0</v>
      </c>
      <c r="C742" s="1" t="s">
        <v>1964</v>
      </c>
      <c r="D742" s="3">
        <v>19.98</v>
      </c>
      <c r="E742" s="4">
        <v>0.04</v>
      </c>
      <c r="F742" s="4">
        <v>0.06709</v>
      </c>
      <c r="G742" s="3">
        <v>0.75</v>
      </c>
      <c r="H742" s="5">
        <v>863.133573</v>
      </c>
      <c r="I742" s="6">
        <v>11.2974</v>
      </c>
      <c r="K742" s="7">
        <v>1.0545</v>
      </c>
      <c r="L742" s="3">
        <v>20.07</v>
      </c>
      <c r="M742" s="3">
        <v>10.88</v>
      </c>
    </row>
    <row r="743" spans="1:13">
      <c r="A743" s="8" t="s">
        <v>754</v>
      </c>
      <c r="B743" s="2">
        <f>HYPERLINK("https://www.suredividend.com/sure-analysis-research-database/","Global Net Lease, Inc.")</f>
        <v>0</v>
      </c>
      <c r="C743" s="1" t="s">
        <v>1961</v>
      </c>
      <c r="D743" s="3">
        <v>9.59</v>
      </c>
      <c r="E743" s="4">
        <v>0.08</v>
      </c>
      <c r="F743" s="4">
        <v>0.15249</v>
      </c>
      <c r="G743" s="3">
        <v>0.76</v>
      </c>
      <c r="H743" s="5">
        <v>2098.049714</v>
      </c>
      <c r="K743" s="7">
        <v>0.6611</v>
      </c>
      <c r="L743" s="3">
        <v>9.5</v>
      </c>
      <c r="M743" s="3">
        <v>5.9</v>
      </c>
    </row>
    <row r="744" spans="1:13">
      <c r="A744" s="8" t="s">
        <v>755</v>
      </c>
      <c r="B744" s="2">
        <f>HYPERLINK("https://www.suredividend.com/sure-analysis-research-database/","GUARANTY BANCSHARES INC /TX/")</f>
        <v>0</v>
      </c>
      <c r="C744" s="1" t="s">
        <v>1962</v>
      </c>
      <c r="D744" s="3">
        <v>48.74</v>
      </c>
      <c r="E744" s="4">
        <v>0.07000000000000001</v>
      </c>
      <c r="F744" s="4">
        <v>0.02609</v>
      </c>
      <c r="G744" s="3">
        <v>3.28</v>
      </c>
      <c r="H744" s="5">
        <v>553.198718</v>
      </c>
      <c r="I744" s="6">
        <v>15.3428</v>
      </c>
      <c r="J744" s="4">
        <v>0.307421</v>
      </c>
      <c r="K744" s="7">
        <v>0.6751</v>
      </c>
    </row>
    <row r="745" spans="1:13">
      <c r="A745" s="8" t="s">
        <v>756</v>
      </c>
      <c r="B745" s="2">
        <f>HYPERLINK("https://www.suredividend.com/sure-analysis-research-database/","GENWORTH FINANCIAL INC")</f>
        <v>0</v>
      </c>
      <c r="C745" s="1" t="s">
        <v>1962</v>
      </c>
      <c r="D745" s="3">
        <v>8.220000000000001</v>
      </c>
      <c r="F745" s="4">
        <v>0</v>
      </c>
      <c r="G745" s="3">
        <v>0.4</v>
      </c>
      <c r="H745" s="5">
        <v>3286.902066</v>
      </c>
      <c r="I745" s="6">
        <v>14.9405</v>
      </c>
      <c r="J745" s="4">
        <v>0.243478</v>
      </c>
      <c r="K745" s="7">
        <v>0.5507</v>
      </c>
      <c r="L745" s="3">
        <v>9.279999999999999</v>
      </c>
      <c r="M745" s="3">
        <v>5.99</v>
      </c>
    </row>
    <row r="746" spans="1:13">
      <c r="A746" s="8" t="s">
        <v>757</v>
      </c>
      <c r="B746" s="2">
        <f>HYPERLINK("https://www.suredividend.com/sure-analysis-research-database/","GoHealth, Inc.")</f>
        <v>0</v>
      </c>
      <c r="C746" s="1" t="s">
        <v>1959</v>
      </c>
      <c r="D746" s="3">
        <v>2.52</v>
      </c>
      <c r="F746" s="4">
        <v>0</v>
      </c>
      <c r="G746" s="3">
        <v>0</v>
      </c>
      <c r="H746" s="5">
        <v>72.35928</v>
      </c>
      <c r="J746" s="4">
        <v>0</v>
      </c>
      <c r="K746" s="7">
        <v>1.0283</v>
      </c>
      <c r="L746" s="3">
        <v>21</v>
      </c>
      <c r="M746" s="3">
        <v>2.05</v>
      </c>
    </row>
    <row r="747" spans="1:13">
      <c r="A747" s="8" t="s">
        <v>758</v>
      </c>
      <c r="B747" s="2">
        <f>HYPERLINK("https://www.suredividend.com/sure-analysis-research-database/","Golden Ocean Group Ltd")</f>
        <v>0</v>
      </c>
      <c r="C747" s="1" t="s">
        <v>1964</v>
      </c>
      <c r="D747" s="3">
        <v>8</v>
      </c>
      <c r="E747" s="4">
        <v>0.1</v>
      </c>
      <c r="F747" s="4">
        <v>0.14662</v>
      </c>
      <c r="G747" s="3">
        <v>0.8</v>
      </c>
      <c r="H747" s="5">
        <v>1591.238278</v>
      </c>
      <c r="I747" s="6">
        <v>7.1288</v>
      </c>
      <c r="J747" s="4">
        <v>1.074812</v>
      </c>
      <c r="K747" s="7">
        <v>0.9639</v>
      </c>
    </row>
    <row r="748" spans="1:13">
      <c r="A748" s="8" t="s">
        <v>759</v>
      </c>
      <c r="B748" s="2">
        <f>HYPERLINK("https://www.suredividend.com/sure-analysis-research-database/","Gogo Inc.")</f>
        <v>0</v>
      </c>
      <c r="C748" s="1" t="s">
        <v>1968</v>
      </c>
      <c r="D748" s="3">
        <v>4.81</v>
      </c>
      <c r="F748" s="4">
        <v>0</v>
      </c>
      <c r="G748" s="3">
        <v>0</v>
      </c>
      <c r="H748" s="5">
        <v>642.500842</v>
      </c>
      <c r="J748" s="4">
        <v>0</v>
      </c>
      <c r="K748" s="7">
        <v>1.1052</v>
      </c>
      <c r="L748" s="3">
        <v>16.82</v>
      </c>
      <c r="M748" s="3">
        <v>4.44</v>
      </c>
    </row>
    <row r="749" spans="1:13">
      <c r="A749" s="8" t="s">
        <v>760</v>
      </c>
      <c r="B749" s="2">
        <f>HYPERLINK("https://www.suredividend.com/sure-analysis-GOLF/","Acushnet Holdings Corp.")</f>
        <v>0</v>
      </c>
      <c r="C749" s="1" t="s">
        <v>1963</v>
      </c>
      <c r="D749" s="3">
        <v>93.06</v>
      </c>
      <c r="E749" s="4">
        <v>0.0101010101010101</v>
      </c>
      <c r="F749" s="4">
        <v>0.00929</v>
      </c>
      <c r="G749" s="3">
        <v>0.9399999999999999</v>
      </c>
      <c r="H749" s="5">
        <v>5461.956343</v>
      </c>
      <c r="I749" s="6">
        <v>24.5669</v>
      </c>
      <c r="J749" s="4">
        <v>0.258993</v>
      </c>
      <c r="K749" s="7">
        <v>0.9736</v>
      </c>
      <c r="L749" s="3">
        <v>94.18000000000001</v>
      </c>
      <c r="M749" s="3">
        <v>54.8</v>
      </c>
    </row>
    <row r="750" spans="1:13">
      <c r="A750" s="8" t="s">
        <v>761</v>
      </c>
      <c r="B750" s="2">
        <f>HYPERLINK("https://www.suredividend.com/sure-analysis-GOOD/","GLADSTONE COMMERCIAL CORP")</f>
        <v>0</v>
      </c>
      <c r="C750" s="1" t="s">
        <v>1961</v>
      </c>
      <c r="D750" s="3">
        <v>11.575</v>
      </c>
      <c r="E750" s="4">
        <v>0.1036717062634989</v>
      </c>
      <c r="F750" s="4">
        <v>0.12003</v>
      </c>
      <c r="G750" s="3">
        <v>1.2</v>
      </c>
      <c r="H750" s="5">
        <v>560.485375</v>
      </c>
      <c r="I750" s="6">
        <v>67.366</v>
      </c>
      <c r="J750" s="4">
        <v>3.168246</v>
      </c>
      <c r="K750" s="7">
        <v>0.7762</v>
      </c>
      <c r="L750" s="3">
        <v>15.2</v>
      </c>
      <c r="M750" s="3">
        <v>10.33</v>
      </c>
    </row>
    <row r="751" spans="1:13">
      <c r="A751" s="8" t="s">
        <v>762</v>
      </c>
      <c r="B751" s="2">
        <f>HYPERLINK("https://www.suredividend.com/sure-analysis-GPI/","GROUP 1 AUTOMOTIVE INC")</f>
        <v>0</v>
      </c>
      <c r="C751" s="1" t="s">
        <v>1963</v>
      </c>
      <c r="D751" s="3">
        <v>409.36</v>
      </c>
      <c r="E751" s="4">
        <v>0.004885675200312683</v>
      </c>
      <c r="F751" s="4">
        <v>0.00427</v>
      </c>
      <c r="G751" s="3">
        <v>2</v>
      </c>
      <c r="H751" s="5">
        <v>5130.051401</v>
      </c>
      <c r="I751" s="6">
        <v>13.6329</v>
      </c>
      <c r="J751" s="4">
        <v>0.068297</v>
      </c>
      <c r="K751" s="7">
        <v>0.9117</v>
      </c>
      <c r="L751" s="3">
        <v>487.84</v>
      </c>
      <c r="M751" s="3">
        <v>354.67</v>
      </c>
    </row>
    <row r="752" spans="1:13">
      <c r="A752" s="8" t="s">
        <v>763</v>
      </c>
      <c r="B752" s="2">
        <f>HYPERLINK("https://www.suredividend.com/sure-analysis-research-database/","Granite Point Mortgage Trust Inc.")</f>
        <v>0</v>
      </c>
      <c r="C752" s="1" t="s">
        <v>1961</v>
      </c>
      <c r="D752" s="3">
        <v>2.365</v>
      </c>
      <c r="E752" s="4">
        <v>0.09</v>
      </c>
      <c r="F752" s="4">
        <v>0.2766</v>
      </c>
      <c r="G752" s="3">
        <v>0.2</v>
      </c>
      <c r="H752" s="5">
        <v>111.403475</v>
      </c>
      <c r="K752" s="7">
        <v>1.442</v>
      </c>
      <c r="L752" s="3">
        <v>3</v>
      </c>
      <c r="M752" s="3">
        <v>1.52</v>
      </c>
    </row>
    <row r="753" spans="1:13">
      <c r="A753" s="8" t="s">
        <v>764</v>
      </c>
      <c r="B753" s="2">
        <f>HYPERLINK("https://www.suredividend.com/sure-analysis-research-database/","GULFPORT ENERGY CORP")</f>
        <v>0</v>
      </c>
      <c r="C753" s="1" t="s">
        <v>1969</v>
      </c>
      <c r="D753" s="3">
        <v>195.44</v>
      </c>
      <c r="F753" s="4">
        <v>0</v>
      </c>
      <c r="G753" s="3">
        <v>0</v>
      </c>
      <c r="H753" s="5">
        <v>3775.279105</v>
      </c>
      <c r="J753" s="4">
        <v>0.117501</v>
      </c>
      <c r="L753" s="3">
        <v>225.78</v>
      </c>
      <c r="M753" s="3">
        <v>153.27</v>
      </c>
    </row>
    <row r="754" spans="1:13">
      <c r="A754" s="8" t="s">
        <v>765</v>
      </c>
      <c r="B754" s="2">
        <f>HYPERLINK("https://www.suredividend.com/sure-analysis-research-database/","Green Plains Inc.")</f>
        <v>0</v>
      </c>
      <c r="C754" s="1" t="s">
        <v>1970</v>
      </c>
      <c r="D754" s="3">
        <v>12.09</v>
      </c>
      <c r="G754" s="3">
        <v>0</v>
      </c>
      <c r="H754" s="5">
        <v>839.417205</v>
      </c>
      <c r="L754" s="3">
        <v>12.31</v>
      </c>
      <c r="M754" s="3">
        <v>3.14</v>
      </c>
    </row>
    <row r="755" spans="1:13">
      <c r="A755" s="8" t="s">
        <v>766</v>
      </c>
      <c r="B755" s="2">
        <f>HYPERLINK("https://www.suredividend.com/sure-analysis-research-database/","GoPro, Inc.")</f>
        <v>0</v>
      </c>
      <c r="C755" s="1" t="s">
        <v>1960</v>
      </c>
      <c r="D755" s="3">
        <v>1.32</v>
      </c>
      <c r="G755" s="3">
        <v>0</v>
      </c>
      <c r="H755" s="5">
        <v>207.646758</v>
      </c>
      <c r="J755" s="4">
        <v>0</v>
      </c>
      <c r="K755" s="7">
        <v>2.2695</v>
      </c>
      <c r="L755" s="3">
        <v>3.05</v>
      </c>
      <c r="M755" s="3">
        <v>0.4</v>
      </c>
    </row>
    <row r="756" spans="1:13">
      <c r="A756" s="8" t="s">
        <v>767</v>
      </c>
      <c r="B756" s="2">
        <f>HYPERLINK("https://www.suredividend.com/sure-analysis-research-database/","Green Brick Partners, Inc.")</f>
        <v>0</v>
      </c>
      <c r="C756" s="1" t="s">
        <v>1963</v>
      </c>
      <c r="D756" s="3">
        <v>73.03</v>
      </c>
      <c r="F756" s="4">
        <v>0</v>
      </c>
      <c r="G756" s="3">
        <v>0</v>
      </c>
      <c r="H756" s="5">
        <v>3181.123456</v>
      </c>
      <c r="I756" s="6">
        <v>9.392899999999999</v>
      </c>
      <c r="J756" s="4">
        <v>0.007732</v>
      </c>
      <c r="K756" s="7">
        <v>1.306</v>
      </c>
      <c r="L756" s="3">
        <v>77.93000000000001</v>
      </c>
      <c r="M756" s="3">
        <v>50.57</v>
      </c>
    </row>
    <row r="757" spans="1:13">
      <c r="A757" s="8" t="s">
        <v>768</v>
      </c>
      <c r="B757" s="2">
        <f>HYPERLINK("https://www.suredividend.com/sure-analysis-GRC/","GORMAN RUPP CO")</f>
        <v>0</v>
      </c>
      <c r="C757" s="1" t="s">
        <v>1964</v>
      </c>
      <c r="D757" s="3">
        <v>53.66</v>
      </c>
      <c r="E757" s="4">
        <v>0.01416325009317928</v>
      </c>
      <c r="F757" s="4">
        <v>0.0141</v>
      </c>
      <c r="G757" s="3">
        <v>0.74</v>
      </c>
      <c r="H757" s="5">
        <v>1411.683973</v>
      </c>
      <c r="I757" s="6">
        <v>28.0954</v>
      </c>
      <c r="J757" s="4">
        <v>0.386857</v>
      </c>
      <c r="K757" s="7">
        <v>1.0447</v>
      </c>
      <c r="L757" s="3">
        <v>53.19</v>
      </c>
      <c r="M757" s="3">
        <v>30.46</v>
      </c>
    </row>
    <row r="758" spans="1:13">
      <c r="A758" s="8" t="s">
        <v>769</v>
      </c>
      <c r="B758" s="2">
        <f>HYPERLINK("https://www.suredividend.com/sure-analysis-research-database/","Guardian Pharmacy Services, Inc.")</f>
        <v>0</v>
      </c>
      <c r="C758" s="1" t="s">
        <v>1959</v>
      </c>
      <c r="D758" s="3">
        <v>29.32</v>
      </c>
      <c r="F758" s="4">
        <v>0</v>
      </c>
      <c r="G758" s="3">
        <v>0</v>
      </c>
      <c r="H758" s="5">
        <v>1861.742936</v>
      </c>
      <c r="I758" s="6">
        <v>46.2671</v>
      </c>
      <c r="J758" s="4">
        <v>0.001847</v>
      </c>
      <c r="K758" s="7">
        <v>0.5468</v>
      </c>
      <c r="L758" s="3">
        <v>37.43</v>
      </c>
      <c r="M758" s="3">
        <v>17.78</v>
      </c>
    </row>
    <row r="759" spans="1:13">
      <c r="A759" s="8" t="s">
        <v>770</v>
      </c>
      <c r="B759" s="2">
        <f>HYPERLINK("https://www.suredividend.com/sure-analysis-research-database/","Grindr Inc.")</f>
        <v>0</v>
      </c>
      <c r="C759" s="1" t="s">
        <v>1959</v>
      </c>
      <c r="D759" s="3">
        <v>12.12</v>
      </c>
      <c r="F759" s="4">
        <v>0</v>
      </c>
      <c r="G759" s="3">
        <v>0</v>
      </c>
      <c r="H759" s="5">
        <v>2205.725405</v>
      </c>
      <c r="J759" s="4">
        <v>0</v>
      </c>
      <c r="K759" s="7">
        <v>0.5528999999999999</v>
      </c>
      <c r="L759" s="3">
        <v>25.13</v>
      </c>
      <c r="M759" s="3">
        <v>11.73</v>
      </c>
    </row>
    <row r="760" spans="1:13">
      <c r="A760" s="8" t="s">
        <v>771</v>
      </c>
      <c r="B760" s="2">
        <f>HYPERLINK("https://www.suredividend.com/sure-analysis-research-database/","Granite Ridge Resources, Inc.")</f>
        <v>0</v>
      </c>
      <c r="C760" s="1" t="s">
        <v>1959</v>
      </c>
      <c r="D760" s="3">
        <v>4.66</v>
      </c>
      <c r="E760" s="4">
        <v>0.09</v>
      </c>
      <c r="F760" s="4">
        <v>0.06651</v>
      </c>
      <c r="G760" s="3">
        <v>0.44</v>
      </c>
      <c r="H760" s="5">
        <v>621.15422</v>
      </c>
      <c r="I760" s="6">
        <v>16.4357</v>
      </c>
      <c r="J760" s="4">
        <v>1.524886</v>
      </c>
      <c r="K760" s="7">
        <v>0.9173</v>
      </c>
      <c r="L760" s="3">
        <v>6.45</v>
      </c>
      <c r="M760" s="3">
        <v>4.18</v>
      </c>
    </row>
    <row r="761" spans="1:13">
      <c r="A761" s="8" t="s">
        <v>772</v>
      </c>
      <c r="B761" s="2">
        <f>HYPERLINK("https://www.suredividend.com/sure-analysis-research-database/","Groupon, Inc.")</f>
        <v>0</v>
      </c>
      <c r="C761" s="1" t="s">
        <v>1968</v>
      </c>
      <c r="D761" s="3">
        <v>16.2</v>
      </c>
      <c r="F761" s="4">
        <v>0</v>
      </c>
      <c r="G761" s="3">
        <v>0</v>
      </c>
      <c r="H761" s="5">
        <v>660.227809</v>
      </c>
      <c r="J761" s="4">
        <v>0</v>
      </c>
      <c r="K761" s="7">
        <v>1.6846</v>
      </c>
      <c r="L761" s="3">
        <v>43.08</v>
      </c>
      <c r="M761" s="3">
        <v>9.210000000000001</v>
      </c>
    </row>
    <row r="762" spans="1:13">
      <c r="A762" s="8" t="s">
        <v>773</v>
      </c>
      <c r="B762" s="2">
        <f>HYPERLINK("https://www.suredividend.com/sure-analysis-research-database/","GrowGeneration Corp.")</f>
        <v>0</v>
      </c>
      <c r="C762" s="1" t="s">
        <v>1963</v>
      </c>
      <c r="D762" s="3">
        <v>1.48</v>
      </c>
      <c r="F762" s="4">
        <v>0</v>
      </c>
      <c r="G762" s="3">
        <v>0</v>
      </c>
      <c r="H762" s="5">
        <v>87.96986099999999</v>
      </c>
      <c r="J762" s="4">
        <v>0</v>
      </c>
      <c r="K762" s="7">
        <v>2.022</v>
      </c>
      <c r="L762" s="3">
        <v>2.4</v>
      </c>
      <c r="M762" s="3">
        <v>0.82</v>
      </c>
    </row>
    <row r="763" spans="1:13">
      <c r="A763" s="8" t="s">
        <v>774</v>
      </c>
      <c r="B763" s="2">
        <f>HYPERLINK("https://www.suredividend.com/sure-analysis-research-database/","Globalstar, Inc.")</f>
        <v>0</v>
      </c>
      <c r="C763" s="1" t="s">
        <v>1968</v>
      </c>
      <c r="D763" s="3">
        <v>61.29</v>
      </c>
      <c r="F763" s="4">
        <v>0</v>
      </c>
      <c r="G763" s="3">
        <v>0</v>
      </c>
      <c r="H763" s="5">
        <v>7722.13049</v>
      </c>
      <c r="K763" s="7">
        <v>1.6159</v>
      </c>
      <c r="L763" s="3">
        <v>74.88</v>
      </c>
      <c r="M763" s="3">
        <v>17.24</v>
      </c>
    </row>
    <row r="764" spans="1:13">
      <c r="A764" s="8" t="s">
        <v>775</v>
      </c>
      <c r="B764" s="2">
        <f>HYPERLINK("https://www.suredividend.com/sure-analysis-research-database/","GREAT SOUTHERN BANCORP, INC.")</f>
        <v>0</v>
      </c>
      <c r="C764" s="1" t="s">
        <v>1962</v>
      </c>
      <c r="D764" s="3">
        <v>66.94</v>
      </c>
      <c r="E764" s="4">
        <v>0.02</v>
      </c>
      <c r="F764" s="4">
        <v>0.02528</v>
      </c>
      <c r="G764" s="3">
        <v>1.66</v>
      </c>
      <c r="H764" s="5">
        <v>749.344876</v>
      </c>
      <c r="I764" s="6">
        <v>10.7634</v>
      </c>
      <c r="J764" s="4">
        <v>0.266432</v>
      </c>
      <c r="K764" s="7">
        <v>0.6719000000000001</v>
      </c>
      <c r="L764" s="3">
        <v>66.13</v>
      </c>
      <c r="M764" s="3">
        <v>46.61</v>
      </c>
    </row>
    <row r="765" spans="1:13">
      <c r="A765" s="8" t="s">
        <v>776</v>
      </c>
      <c r="B765" s="2">
        <f>HYPERLINK("https://www.suredividend.com/sure-analysis-research-database/","Goosehead Insurance, Inc.")</f>
        <v>0</v>
      </c>
      <c r="C765" s="1" t="s">
        <v>1962</v>
      </c>
      <c r="D765" s="3">
        <v>69.02</v>
      </c>
      <c r="F765" s="4">
        <v>0.02023</v>
      </c>
      <c r="G765" s="3">
        <v>5.91</v>
      </c>
      <c r="H765" s="5">
        <v>2540.043974</v>
      </c>
      <c r="I765" s="6">
        <v>83.9545</v>
      </c>
      <c r="J765" s="4">
        <v>4.412955</v>
      </c>
      <c r="K765" s="7">
        <v>0.6976</v>
      </c>
      <c r="L765" s="3">
        <v>127.99</v>
      </c>
      <c r="M765" s="3">
        <v>64.41</v>
      </c>
    </row>
    <row r="766" spans="1:13">
      <c r="A766" s="8" t="s">
        <v>777</v>
      </c>
      <c r="B766" s="2">
        <f>HYPERLINK("https://www.suredividend.com/sure-analysis-research-database/","GOODYEAR TIRE &amp; RUBBER CO /OH/")</f>
        <v>0</v>
      </c>
      <c r="C766" s="1" t="s">
        <v>1963</v>
      </c>
      <c r="D766" s="3">
        <v>9.51</v>
      </c>
      <c r="F766" s="4">
        <v>0</v>
      </c>
      <c r="G766" s="3">
        <v>0.64</v>
      </c>
      <c r="H766" s="5">
        <v>2651.813585</v>
      </c>
      <c r="J766" s="4">
        <v>0</v>
      </c>
      <c r="K766" s="7">
        <v>0.9661999999999999</v>
      </c>
      <c r="L766" s="3">
        <v>12.03</v>
      </c>
      <c r="M766" s="3">
        <v>6.51</v>
      </c>
    </row>
    <row r="767" spans="1:13">
      <c r="A767" s="8" t="s">
        <v>778</v>
      </c>
      <c r="B767" s="2">
        <f>HYPERLINK("https://www.suredividend.com/sure-analysis-research-database/","CHART INDUSTRIES INC")</f>
        <v>0</v>
      </c>
      <c r="C767" s="1" t="s">
        <v>1964</v>
      </c>
      <c r="D767" s="3">
        <v>206.7</v>
      </c>
      <c r="F767" s="4">
        <v>0</v>
      </c>
      <c r="G767" s="3">
        <v>0</v>
      </c>
      <c r="H767" s="5">
        <v>9327.737748</v>
      </c>
      <c r="J767" s="4">
        <v>0.420655</v>
      </c>
      <c r="K767" s="7">
        <v>1.9416</v>
      </c>
      <c r="L767" s="3">
        <v>219.51</v>
      </c>
      <c r="M767" s="3">
        <v>104.6</v>
      </c>
    </row>
    <row r="768" spans="1:13">
      <c r="A768" s="8" t="s">
        <v>779</v>
      </c>
      <c r="B768" s="2">
        <f>HYPERLINK("https://www.suredividend.com/sure-analysis-research-database/","GRAY TELEVISION INC")</f>
        <v>0</v>
      </c>
      <c r="C768" s="1" t="s">
        <v>1968</v>
      </c>
      <c r="D768" s="3">
        <v>4.5</v>
      </c>
      <c r="E768" s="4">
        <v>0.07000000000000001</v>
      </c>
      <c r="F768" s="4">
        <v>0.07273</v>
      </c>
      <c r="G768" s="3">
        <v>0.32</v>
      </c>
      <c r="H768" s="5">
        <v>455.306472</v>
      </c>
      <c r="I768" s="6">
        <v>10.8406</v>
      </c>
      <c r="J768" s="4">
        <v>0.893617</v>
      </c>
      <c r="K768" s="7">
        <v>0.7625999999999999</v>
      </c>
      <c r="L768" s="3">
        <v>6.13</v>
      </c>
      <c r="M768" s="3">
        <v>2.98</v>
      </c>
    </row>
    <row r="769" spans="1:13">
      <c r="A769" s="8" t="s">
        <v>780</v>
      </c>
      <c r="B769" s="2">
        <f>HYPERLINK("https://www.suredividend.com/sure-analysis-research-database/","")</f>
        <v>0</v>
      </c>
      <c r="C769" s="1" t="s">
        <v>1959</v>
      </c>
      <c r="D769" s="3">
        <v>0</v>
      </c>
      <c r="F769" s="4">
        <v>0</v>
      </c>
      <c r="G769" s="3">
        <v>0</v>
      </c>
      <c r="H769" s="5">
        <v>1.558549</v>
      </c>
      <c r="J769" s="4">
        <v>0</v>
      </c>
      <c r="K769" s="7">
        <v>1.6399</v>
      </c>
    </row>
    <row r="770" spans="1:13">
      <c r="A770" s="8" t="s">
        <v>781</v>
      </c>
      <c r="B770" s="2">
        <f>HYPERLINK("https://www.suredividend.com/sure-analysis-GTY/","GETTY REALTY CORP /MD/")</f>
        <v>0</v>
      </c>
      <c r="C770" s="1" t="s">
        <v>1961</v>
      </c>
      <c r="D770" s="3">
        <v>29.33</v>
      </c>
      <c r="E770" s="4">
        <v>0.06614387998636209</v>
      </c>
      <c r="F770" s="4">
        <v>0.06235</v>
      </c>
      <c r="G770" s="3">
        <v>1.89</v>
      </c>
      <c r="H770" s="5">
        <v>1709.202775</v>
      </c>
      <c r="I770" s="6">
        <v>22.9599</v>
      </c>
      <c r="J770" s="4">
        <v>1.425856</v>
      </c>
      <c r="K770" s="7">
        <v>0.2509</v>
      </c>
      <c r="L770" s="3">
        <v>30.24</v>
      </c>
      <c r="M770" s="3">
        <v>24.95</v>
      </c>
    </row>
    <row r="771" spans="1:13">
      <c r="A771" s="8" t="s">
        <v>782</v>
      </c>
      <c r="B771" s="2">
        <f>HYPERLINK("https://www.suredividend.com/sure-analysis-research-database/","FRACTYL HEALTH, INC.")</f>
        <v>0</v>
      </c>
      <c r="C771" s="1" t="s">
        <v>1959</v>
      </c>
      <c r="D771" s="3">
        <v>1.885</v>
      </c>
      <c r="F771" s="4">
        <v>0</v>
      </c>
      <c r="G771" s="3">
        <v>0</v>
      </c>
      <c r="H771" s="5">
        <v>253.532214</v>
      </c>
      <c r="J771" s="4">
        <v>0</v>
      </c>
      <c r="K771" s="7">
        <v>1.7749</v>
      </c>
      <c r="L771" s="3">
        <v>3.03</v>
      </c>
      <c r="M771" s="3">
        <v>0.83</v>
      </c>
    </row>
    <row r="772" spans="1:13">
      <c r="A772" s="8" t="s">
        <v>783</v>
      </c>
      <c r="B772" s="2">
        <f>HYPERLINK("https://www.suredividend.com/sure-analysis-research-database/","GRANITE CONSTRUCTION INC")</f>
        <v>0</v>
      </c>
      <c r="C772" s="1" t="s">
        <v>1964</v>
      </c>
      <c r="D772" s="3">
        <v>123.13</v>
      </c>
      <c r="F772" s="4">
        <v>0.00436</v>
      </c>
      <c r="G772" s="3">
        <v>0.52</v>
      </c>
      <c r="H772" s="5">
        <v>5330.950807</v>
      </c>
      <c r="I772" s="6">
        <v>29.2177</v>
      </c>
      <c r="J772" s="4">
        <v>0.108948</v>
      </c>
      <c r="K772" s="7">
        <v>1.285</v>
      </c>
      <c r="L772" s="3">
        <v>124.99</v>
      </c>
      <c r="M772" s="3">
        <v>68.81999999999999</v>
      </c>
    </row>
    <row r="773" spans="1:13">
      <c r="A773" s="8" t="s">
        <v>784</v>
      </c>
      <c r="B773" s="2">
        <f>HYPERLINK("https://www.suredividend.com/sure-analysis-GWRS/","Global Water Resources, Inc.")</f>
        <v>0</v>
      </c>
      <c r="C773" s="1" t="s">
        <v>1967</v>
      </c>
      <c r="D773" s="3">
        <v>8.76</v>
      </c>
      <c r="E773" s="4">
        <v>0.03424657534246575</v>
      </c>
      <c r="F773" s="4">
        <v>0.03502</v>
      </c>
      <c r="G773" s="3">
        <v>0.3</v>
      </c>
      <c r="H773" s="5">
        <v>251.277316</v>
      </c>
      <c r="I773" s="6">
        <v>57.5928</v>
      </c>
      <c r="J773" s="4">
        <v>1.799679</v>
      </c>
      <c r="K773" s="7">
        <v>0.7719</v>
      </c>
      <c r="L773" s="3">
        <v>11.83</v>
      </c>
      <c r="M773" s="3">
        <v>8.23</v>
      </c>
    </row>
    <row r="774" spans="1:13">
      <c r="A774" s="8" t="s">
        <v>785</v>
      </c>
      <c r="B774" s="2">
        <f>HYPERLINK("https://www.suredividend.com/sure-analysis-research-database/","GYRE THERAPEUTICS, INC.")</f>
        <v>0</v>
      </c>
      <c r="C774" s="1" t="s">
        <v>1959</v>
      </c>
      <c r="D774" s="3">
        <v>8.31</v>
      </c>
      <c r="F774" s="4">
        <v>2.06571</v>
      </c>
      <c r="G774" s="3">
        <v>75.45</v>
      </c>
      <c r="H774" s="5">
        <v>799.565203</v>
      </c>
      <c r="I774" s="6">
        <v>120.2173</v>
      </c>
      <c r="J774" s="4">
        <v>0</v>
      </c>
      <c r="K774" s="7">
        <v>1.2367</v>
      </c>
      <c r="L774" s="3">
        <v>13.75</v>
      </c>
      <c r="M774" s="3">
        <v>6.11</v>
      </c>
    </row>
    <row r="775" spans="1:13">
      <c r="A775" s="8" t="s">
        <v>786</v>
      </c>
      <c r="B775" s="2">
        <f>HYPERLINK("https://www.suredividend.com/sure-analysis-research-database/","HAEMONETICS CORP")</f>
        <v>0</v>
      </c>
      <c r="C775" s="1" t="s">
        <v>1965</v>
      </c>
      <c r="D775" s="3">
        <v>70.2</v>
      </c>
      <c r="F775" s="4">
        <v>0</v>
      </c>
      <c r="G775" s="3">
        <v>0</v>
      </c>
      <c r="H775" s="5">
        <v>3281.826104</v>
      </c>
      <c r="I775" s="6">
        <v>19.5126</v>
      </c>
      <c r="J775" s="4">
        <v>0</v>
      </c>
      <c r="K775" s="7">
        <v>0.6183999999999999</v>
      </c>
      <c r="L775" s="3">
        <v>87.31999999999999</v>
      </c>
      <c r="M775" s="3">
        <v>47.32</v>
      </c>
    </row>
    <row r="776" spans="1:13">
      <c r="A776" s="8" t="s">
        <v>787</v>
      </c>
      <c r="B776" s="2">
        <f>HYPERLINK("https://www.suredividend.com/sure-analysis-research-database/","HANMI FINANCIAL CORP")</f>
        <v>0</v>
      </c>
      <c r="C776" s="1" t="s">
        <v>1962</v>
      </c>
      <c r="D776" s="3">
        <v>29.55</v>
      </c>
      <c r="E776" s="4">
        <v>0.04</v>
      </c>
      <c r="F776" s="4">
        <v>0.03308</v>
      </c>
      <c r="G776" s="3">
        <v>1.08</v>
      </c>
      <c r="H776" s="5">
        <v>885.179322</v>
      </c>
      <c r="I776" s="6">
        <v>12.202</v>
      </c>
      <c r="J776" s="4">
        <v>0.442214</v>
      </c>
      <c r="K776" s="7">
        <v>0.9616</v>
      </c>
      <c r="L776" s="3">
        <v>29.61</v>
      </c>
      <c r="M776" s="3">
        <v>18.61</v>
      </c>
    </row>
    <row r="777" spans="1:13">
      <c r="A777" s="8" t="s">
        <v>788</v>
      </c>
      <c r="B777" s="2">
        <f>HYPERLINK("https://www.suredividend.com/sure-analysis-research-database/","HAIN CELESTIAL GROUP INC")</f>
        <v>0</v>
      </c>
      <c r="C777" s="1" t="s">
        <v>1966</v>
      </c>
      <c r="D777" s="3">
        <v>1.105</v>
      </c>
      <c r="F777" s="4">
        <v>0</v>
      </c>
      <c r="G777" s="3">
        <v>0</v>
      </c>
      <c r="H777" s="5">
        <v>100.529612</v>
      </c>
      <c r="J777" s="4">
        <v>0</v>
      </c>
      <c r="K777" s="7">
        <v>0.7144</v>
      </c>
      <c r="L777" s="3">
        <v>5.66</v>
      </c>
      <c r="M777" s="3">
        <v>1</v>
      </c>
    </row>
    <row r="778" spans="1:13">
      <c r="A778" s="8" t="s">
        <v>789</v>
      </c>
      <c r="B778" s="2">
        <f>HYPERLINK("https://www.suredividend.com/sure-analysis-research-database/","HALOZYME THERAPEUTICS, INC.")</f>
        <v>0</v>
      </c>
      <c r="C778" s="1" t="s">
        <v>1965</v>
      </c>
      <c r="D778" s="3">
        <v>72.59</v>
      </c>
      <c r="F778" s="4">
        <v>0</v>
      </c>
      <c r="G778" s="3">
        <v>0</v>
      </c>
      <c r="H778" s="5">
        <v>8432.880870000001</v>
      </c>
      <c r="I778" s="6">
        <v>14.1612</v>
      </c>
      <c r="J778" s="4">
        <v>0</v>
      </c>
      <c r="K778" s="7">
        <v>0.5653</v>
      </c>
      <c r="L778" s="3">
        <v>79.5</v>
      </c>
      <c r="M778" s="3">
        <v>47.5</v>
      </c>
    </row>
    <row r="779" spans="1:13">
      <c r="A779" s="8" t="s">
        <v>790</v>
      </c>
      <c r="B779" s="2">
        <f>HYPERLINK("https://www.suredividend.com/sure-analysis-HASI/","HA Sustainable Infrastructure Capital, Inc.")</f>
        <v>0</v>
      </c>
      <c r="C779" s="1" t="s">
        <v>1961</v>
      </c>
      <c r="D779" s="3">
        <v>34.39</v>
      </c>
      <c r="E779" s="4">
        <v>0.04885141029369002</v>
      </c>
      <c r="F779" s="4">
        <v>0.04594</v>
      </c>
      <c r="G779" s="3">
        <v>1.68</v>
      </c>
      <c r="H779" s="5">
        <v>4344.962454</v>
      </c>
      <c r="I779" s="6">
        <v>14.0886</v>
      </c>
      <c r="J779" s="4">
        <v>0.65474</v>
      </c>
      <c r="K779" s="7">
        <v>1.2182</v>
      </c>
      <c r="L779" s="3">
        <v>34.71</v>
      </c>
      <c r="M779" s="3">
        <v>21.08</v>
      </c>
    </row>
    <row r="780" spans="1:13">
      <c r="A780" s="8" t="s">
        <v>791</v>
      </c>
      <c r="B780" s="2">
        <f>HYPERLINK("https://www.suredividend.com/sure-analysis-HBB/","Hamilton Beach Brands Holding Co")</f>
        <v>0</v>
      </c>
      <c r="C780" s="1" t="s">
        <v>1960</v>
      </c>
      <c r="D780" s="3">
        <v>18.76</v>
      </c>
      <c r="E780" s="4">
        <v>0.0255863539445629</v>
      </c>
      <c r="F780" s="4">
        <v>0.02643</v>
      </c>
      <c r="G780" s="3">
        <v>0.47</v>
      </c>
      <c r="H780" s="5">
        <v>253.403415</v>
      </c>
      <c r="I780" s="6">
        <v>8.2384</v>
      </c>
      <c r="J780" s="4">
        <v>0.204623</v>
      </c>
      <c r="K780" s="7">
        <v>0.4783</v>
      </c>
      <c r="L780" s="3">
        <v>20.74</v>
      </c>
      <c r="M780" s="3">
        <v>12.52</v>
      </c>
    </row>
    <row r="781" spans="1:13">
      <c r="A781" s="8" t="s">
        <v>792</v>
      </c>
      <c r="B781" s="2">
        <f>HYPERLINK("https://www.suredividend.com/sure-analysis-HBCP/","HOME BANCORP, INC.")</f>
        <v>0</v>
      </c>
      <c r="C781" s="1" t="s">
        <v>1962</v>
      </c>
      <c r="D781" s="3">
        <v>63.34</v>
      </c>
      <c r="E781" s="4">
        <v>0.01957688664351121</v>
      </c>
      <c r="F781" s="4">
        <v>0.01715</v>
      </c>
      <c r="G781" s="3">
        <v>1.14</v>
      </c>
      <c r="H781" s="5">
        <v>495.75636</v>
      </c>
      <c r="I781" s="6">
        <v>11.1848</v>
      </c>
      <c r="J781" s="4">
        <v>0.195402</v>
      </c>
      <c r="K781" s="7">
        <v>0.8728</v>
      </c>
      <c r="L781" s="3">
        <v>63.67</v>
      </c>
      <c r="M781" s="3">
        <v>38.93</v>
      </c>
    </row>
    <row r="782" spans="1:13">
      <c r="A782" s="8" t="s">
        <v>793</v>
      </c>
      <c r="B782" s="2">
        <f>HYPERLINK("https://www.suredividend.com/sure-analysis-research-database/","HARVARD BIOSCIENCE INC")</f>
        <v>0</v>
      </c>
      <c r="C782" s="1" t="s">
        <v>1963</v>
      </c>
      <c r="D782" s="3">
        <v>6.58</v>
      </c>
      <c r="F782" s="4">
        <v>0.03709</v>
      </c>
      <c r="G782" s="3">
        <v>0.6</v>
      </c>
      <c r="H782" s="5">
        <v>2289.099956</v>
      </c>
      <c r="I782" s="6">
        <v>6.9364</v>
      </c>
      <c r="J782" s="4">
        <v>0</v>
      </c>
      <c r="K782" s="7">
        <v>1.3357</v>
      </c>
    </row>
    <row r="783" spans="1:13">
      <c r="A783" s="8" t="s">
        <v>794</v>
      </c>
      <c r="B783" s="2">
        <f>HYPERLINK("https://www.suredividend.com/sure-analysis-research-database/","HARVARD BIOSCIENCE INC")</f>
        <v>0</v>
      </c>
      <c r="C783" s="1" t="s">
        <v>1965</v>
      </c>
      <c r="D783" s="3">
        <v>0.5600000000000001</v>
      </c>
      <c r="F783" s="4">
        <v>0</v>
      </c>
      <c r="G783" s="3">
        <v>0</v>
      </c>
      <c r="H783" s="5">
        <v>26.408994</v>
      </c>
      <c r="J783" s="4">
        <v>0</v>
      </c>
      <c r="K783" s="7">
        <v>1.6947</v>
      </c>
      <c r="L783" s="3">
        <v>1.98</v>
      </c>
      <c r="M783" s="3">
        <v>0.28</v>
      </c>
    </row>
    <row r="784" spans="1:13">
      <c r="A784" s="8" t="s">
        <v>795</v>
      </c>
      <c r="B784" s="2">
        <f>HYPERLINK("https://www.suredividend.com/sure-analysis-HBNC/","HORIZON BANCORP INC /IN/")</f>
        <v>0</v>
      </c>
      <c r="C784" s="1" t="s">
        <v>1962</v>
      </c>
      <c r="D784" s="3">
        <v>18.42</v>
      </c>
      <c r="E784" s="4">
        <v>0.04</v>
      </c>
      <c r="F784" s="4">
        <v>0.03832</v>
      </c>
      <c r="G784" s="3">
        <v>0.64</v>
      </c>
      <c r="H784" s="5">
        <v>934.205978</v>
      </c>
      <c r="K784" s="7">
        <v>1.1588</v>
      </c>
      <c r="L784" s="3">
        <v>18.52</v>
      </c>
      <c r="M784" s="3">
        <v>12.33</v>
      </c>
    </row>
    <row r="785" spans="1:13">
      <c r="A785" s="8" t="s">
        <v>796</v>
      </c>
      <c r="B785" s="2">
        <f>HYPERLINK("https://www.suredividend.com/sure-analysis-research-database/","HBT Financial, Inc.")</f>
        <v>0</v>
      </c>
      <c r="C785" s="1" t="s">
        <v>1962</v>
      </c>
      <c r="D785" s="3">
        <v>28.25</v>
      </c>
      <c r="E785" s="4">
        <v>0.03</v>
      </c>
      <c r="F785" s="4">
        <v>0.02697</v>
      </c>
      <c r="G785" s="3">
        <v>0.84</v>
      </c>
      <c r="H785" s="5">
        <v>891.409365</v>
      </c>
      <c r="I785" s="6">
        <v>11.3784</v>
      </c>
      <c r="J785" s="4">
        <v>0.332006</v>
      </c>
      <c r="K785" s="7">
        <v>0.8845</v>
      </c>
      <c r="L785" s="3">
        <v>28.44</v>
      </c>
      <c r="M785" s="3">
        <v>18.96</v>
      </c>
    </row>
    <row r="786" spans="1:13">
      <c r="A786" s="8" t="s">
        <v>797</v>
      </c>
      <c r="B786" s="2">
        <f>HYPERLINK("https://www.suredividend.com/sure-analysis-research-database/","Health Catalyst, Inc.")</f>
        <v>0</v>
      </c>
      <c r="C786" s="1" t="s">
        <v>1965</v>
      </c>
      <c r="D786" s="3">
        <v>2.3</v>
      </c>
      <c r="F786" s="4">
        <v>0</v>
      </c>
      <c r="G786" s="3">
        <v>0</v>
      </c>
      <c r="H786" s="5">
        <v>162.681033</v>
      </c>
      <c r="J786" s="4">
        <v>0</v>
      </c>
      <c r="K786" s="7">
        <v>1.6814</v>
      </c>
      <c r="L786" s="3">
        <v>5.93</v>
      </c>
      <c r="M786" s="3">
        <v>2.02</v>
      </c>
    </row>
    <row r="787" spans="1:13">
      <c r="A787" s="8" t="s">
        <v>798</v>
      </c>
      <c r="B787" s="2">
        <f>HYPERLINK("https://www.suredividend.com/sure-analysis-research-database/","WARRIOR MET COAL, INC.")</f>
        <v>0</v>
      </c>
      <c r="C787" s="1" t="s">
        <v>1970</v>
      </c>
      <c r="D787" s="3">
        <v>100</v>
      </c>
      <c r="F787" s="4">
        <v>0.008800000000000001</v>
      </c>
      <c r="G787" s="3">
        <v>0.32</v>
      </c>
      <c r="H787" s="5">
        <v>5250.18148</v>
      </c>
      <c r="I787" s="6">
        <v>149.2674</v>
      </c>
      <c r="J787" s="4">
        <v>0.482359</v>
      </c>
      <c r="K787" s="7">
        <v>1.2162</v>
      </c>
      <c r="L787" s="3">
        <v>105.35</v>
      </c>
      <c r="M787" s="3">
        <v>37.85</v>
      </c>
    </row>
    <row r="788" spans="1:13">
      <c r="A788" s="8" t="s">
        <v>799</v>
      </c>
      <c r="B788" s="2">
        <f>HYPERLINK("https://www.suredividend.com/sure-analysis-research-database/","HCI Group, Inc.")</f>
        <v>0</v>
      </c>
      <c r="C788" s="1" t="s">
        <v>1962</v>
      </c>
      <c r="D788" s="3">
        <v>169.93</v>
      </c>
      <c r="E788" s="4">
        <v>0.01</v>
      </c>
      <c r="F788" s="4">
        <v>0.00915</v>
      </c>
      <c r="G788" s="3">
        <v>1.6</v>
      </c>
      <c r="H788" s="5">
        <v>2204.502294</v>
      </c>
      <c r="I788" s="6">
        <v>10.8098</v>
      </c>
      <c r="J788" s="4">
        <v>0.098249</v>
      </c>
      <c r="K788" s="7">
        <v>0.5049</v>
      </c>
      <c r="L788" s="3">
        <v>210.01</v>
      </c>
      <c r="M788" s="3">
        <v>114.42</v>
      </c>
    </row>
    <row r="789" spans="1:13">
      <c r="A789" s="8" t="s">
        <v>800</v>
      </c>
      <c r="B789" s="2">
        <f>HYPERLINK("https://www.suredividend.com/sure-analysis-research-database/","HACKETT GROUP, INC.")</f>
        <v>0</v>
      </c>
      <c r="C789" s="1" t="s">
        <v>1960</v>
      </c>
      <c r="D789" s="3">
        <v>19.655</v>
      </c>
      <c r="E789" s="4">
        <v>0.02</v>
      </c>
      <c r="F789" s="4">
        <v>0.02208</v>
      </c>
      <c r="G789" s="3">
        <v>0.48</v>
      </c>
      <c r="H789" s="5">
        <v>533.391823</v>
      </c>
      <c r="I789" s="6">
        <v>48.8678</v>
      </c>
      <c r="J789" s="4">
        <v>1.162254</v>
      </c>
      <c r="K789" s="7">
        <v>0.9645</v>
      </c>
      <c r="L789" s="3">
        <v>33.31</v>
      </c>
      <c r="M789" s="3">
        <v>17.42</v>
      </c>
    </row>
    <row r="790" spans="1:13">
      <c r="A790" s="8" t="s">
        <v>801</v>
      </c>
      <c r="B790" s="2">
        <f>HYPERLINK("https://www.suredividend.com/sure-analysis-research-database/","HEALTHCARE SERVICES GROUP INC")</f>
        <v>0</v>
      </c>
      <c r="C790" s="1" t="s">
        <v>1965</v>
      </c>
      <c r="D790" s="3">
        <v>18.985</v>
      </c>
      <c r="F790" s="4">
        <v>0.01755</v>
      </c>
      <c r="G790" s="3">
        <v>0.85</v>
      </c>
      <c r="H790" s="5">
        <v>1338.654671</v>
      </c>
      <c r="I790" s="6">
        <v>33.8643</v>
      </c>
      <c r="J790" s="4">
        <v>0</v>
      </c>
      <c r="K790" s="7">
        <v>1.0527</v>
      </c>
      <c r="L790" s="3">
        <v>20.26</v>
      </c>
      <c r="M790" s="3">
        <v>9.130000000000001</v>
      </c>
    </row>
    <row r="791" spans="1:13">
      <c r="A791" s="8" t="s">
        <v>802</v>
      </c>
      <c r="B791" s="2">
        <f>HYPERLINK("https://www.suredividend.com/sure-analysis-research-database/","HUDSON TECHNOLOGIES INC /NY")</f>
        <v>0</v>
      </c>
      <c r="C791" s="1" t="s">
        <v>1970</v>
      </c>
      <c r="D791" s="3">
        <v>7.345</v>
      </c>
      <c r="F791" s="4">
        <v>0</v>
      </c>
      <c r="G791" s="3">
        <v>0</v>
      </c>
      <c r="H791" s="5">
        <v>320.446785</v>
      </c>
      <c r="I791" s="6">
        <v>14.0949</v>
      </c>
      <c r="J791" s="4">
        <v>0</v>
      </c>
      <c r="K791" s="7">
        <v>0.7901</v>
      </c>
      <c r="L791" s="3">
        <v>10.52</v>
      </c>
      <c r="M791" s="3">
        <v>5.11</v>
      </c>
    </row>
    <row r="792" spans="1:13">
      <c r="A792" s="8" t="s">
        <v>803</v>
      </c>
      <c r="B792" s="2">
        <f>HYPERLINK("https://www.suredividend.com/sure-analysis-research-database/","HAWAIIAN ELECTRIC INDUSTRIES INC")</f>
        <v>0</v>
      </c>
      <c r="C792" s="1" t="s">
        <v>1967</v>
      </c>
      <c r="D792" s="3">
        <v>14.69</v>
      </c>
      <c r="F792" s="4">
        <v>0.06254</v>
      </c>
      <c r="G792" s="3">
        <v>1.43</v>
      </c>
      <c r="H792" s="5">
        <v>2803.788379</v>
      </c>
      <c r="I792" s="6">
        <v>23.9939</v>
      </c>
      <c r="J792" s="4">
        <v>0.015667</v>
      </c>
      <c r="K792" s="7">
        <v>0.6723</v>
      </c>
      <c r="L792" s="3">
        <v>15.05</v>
      </c>
      <c r="M792" s="3">
        <v>8.75</v>
      </c>
    </row>
    <row r="793" spans="1:13">
      <c r="A793" s="8" t="s">
        <v>804</v>
      </c>
      <c r="B793" s="2">
        <f>HYPERLINK("https://www.suredividend.com/sure-analysis-research-database/","H&amp;E Equipment Services, Inc.")</f>
        <v>0</v>
      </c>
      <c r="C793" s="1" t="s">
        <v>1964</v>
      </c>
      <c r="D793" s="3">
        <v>0</v>
      </c>
      <c r="E793" s="4">
        <v>0.01</v>
      </c>
      <c r="F793" s="4">
        <v>0.00988</v>
      </c>
      <c r="G793" s="3">
        <v>1.1</v>
      </c>
      <c r="H793" s="5">
        <v>3470.12551</v>
      </c>
      <c r="I793" s="6">
        <v>38.1815</v>
      </c>
      <c r="J793" s="4">
        <v>0.442856</v>
      </c>
      <c r="K793" s="7">
        <v>1.4623</v>
      </c>
    </row>
    <row r="794" spans="1:13">
      <c r="A794" s="8" t="s">
        <v>805</v>
      </c>
      <c r="B794" s="2">
        <f>HYPERLINK("https://www.suredividend.com/sure-analysis-research-database/","HELEN OF TROY LTD")</f>
        <v>0</v>
      </c>
      <c r="C794" s="1" t="s">
        <v>1966</v>
      </c>
      <c r="D794" s="3">
        <v>19.14</v>
      </c>
      <c r="F794" s="4">
        <v>0</v>
      </c>
      <c r="G794" s="3">
        <v>0</v>
      </c>
      <c r="H794" s="5">
        <v>441.600051</v>
      </c>
      <c r="J794" s="4">
        <v>0</v>
      </c>
      <c r="K794" s="7">
        <v>0.9537</v>
      </c>
      <c r="L794" s="3">
        <v>69.05</v>
      </c>
      <c r="M794" s="3">
        <v>17.01</v>
      </c>
    </row>
    <row r="795" spans="1:13">
      <c r="A795" s="8" t="s">
        <v>806</v>
      </c>
      <c r="B795" s="2">
        <f>HYPERLINK("https://www.suredividend.com/sure-analysis-research-database/","HF Foods Group Inc.")</f>
        <v>0</v>
      </c>
      <c r="C795" s="1" t="s">
        <v>1966</v>
      </c>
      <c r="D795" s="3">
        <v>2.18</v>
      </c>
      <c r="F795" s="4">
        <v>0</v>
      </c>
      <c r="G795" s="3">
        <v>0</v>
      </c>
      <c r="H795" s="5">
        <v>116.165992</v>
      </c>
      <c r="J795" s="4">
        <v>0</v>
      </c>
      <c r="K795" s="7">
        <v>0.905</v>
      </c>
      <c r="L795" s="3">
        <v>4.93</v>
      </c>
      <c r="M795" s="3">
        <v>1.7</v>
      </c>
    </row>
    <row r="796" spans="1:13">
      <c r="A796" s="8" t="s">
        <v>807</v>
      </c>
      <c r="B796" s="2">
        <f>HYPERLINK("https://www.suredividend.com/sure-analysis-HFWA/","HERITAGE FINANCIAL CORP /WA/")</f>
        <v>0</v>
      </c>
      <c r="C796" s="1" t="s">
        <v>1962</v>
      </c>
      <c r="D796" s="3">
        <v>26.07</v>
      </c>
      <c r="E796" s="4">
        <v>0.03682393555811277</v>
      </c>
      <c r="F796" s="4">
        <v>0.03628</v>
      </c>
      <c r="G796" s="3">
        <v>0.96</v>
      </c>
      <c r="H796" s="5">
        <v>891.70394</v>
      </c>
      <c r="I796" s="6">
        <v>15.583</v>
      </c>
      <c r="J796" s="4">
        <v>0.565402</v>
      </c>
      <c r="K796" s="7">
        <v>0.825</v>
      </c>
      <c r="L796" s="3">
        <v>26.92</v>
      </c>
      <c r="M796" s="3">
        <v>19.22</v>
      </c>
    </row>
    <row r="797" spans="1:13">
      <c r="A797" s="8" t="s">
        <v>808</v>
      </c>
      <c r="B797" s="2">
        <f>HYPERLINK("https://www.suredividend.com/sure-analysis-research-database/","Hamilton Insurance Group, Ltd.")</f>
        <v>0</v>
      </c>
      <c r="C797" s="1" t="s">
        <v>1959</v>
      </c>
      <c r="D797" s="3">
        <v>27.5</v>
      </c>
      <c r="F797" s="4">
        <v>0</v>
      </c>
      <c r="G797" s="3">
        <v>0</v>
      </c>
      <c r="H797" s="5">
        <v>1752.845888</v>
      </c>
      <c r="I797" s="6">
        <v>3.9982</v>
      </c>
      <c r="J797" s="4">
        <v>0.343427</v>
      </c>
      <c r="K797" s="7">
        <v>0.0312</v>
      </c>
      <c r="L797" s="3">
        <v>28.72</v>
      </c>
      <c r="M797" s="3">
        <v>16.8</v>
      </c>
    </row>
    <row r="798" spans="1:13">
      <c r="A798" s="8" t="s">
        <v>809</v>
      </c>
      <c r="B798" s="2">
        <f>HYPERLINK("https://www.suredividend.com/sure-analysis-research-database/","Hilton Grand Vacations Inc.")</f>
        <v>0</v>
      </c>
      <c r="C798" s="1" t="s">
        <v>1963</v>
      </c>
      <c r="D798" s="3">
        <v>46.79</v>
      </c>
      <c r="F798" s="4">
        <v>0</v>
      </c>
      <c r="G798" s="3">
        <v>0</v>
      </c>
      <c r="H798" s="5">
        <v>3990.585288</v>
      </c>
      <c r="I798" s="6">
        <v>75.2941</v>
      </c>
      <c r="J798" s="4">
        <v>0.06944400000000001</v>
      </c>
      <c r="K798" s="7">
        <v>1.3494</v>
      </c>
      <c r="L798" s="3">
        <v>52.08</v>
      </c>
      <c r="M798" s="3">
        <v>30.59</v>
      </c>
    </row>
    <row r="799" spans="1:13">
      <c r="A799" s="8" t="s">
        <v>810</v>
      </c>
      <c r="B799" s="2">
        <f>HYPERLINK("https://www.suredividend.com/sure-analysis-HI/","Hillenbrand, Inc.")</f>
        <v>0</v>
      </c>
      <c r="C799" s="1" t="s">
        <v>1964</v>
      </c>
      <c r="D799" s="3">
        <v>31.84</v>
      </c>
      <c r="E799" s="4">
        <v>0.02858040201005025</v>
      </c>
      <c r="F799" s="4">
        <v>0.02771</v>
      </c>
      <c r="G799" s="3">
        <v>0.9</v>
      </c>
      <c r="H799" s="5">
        <v>2243.526981</v>
      </c>
      <c r="I799" s="6">
        <v>52.054</v>
      </c>
      <c r="J799" s="4">
        <v>1.216891</v>
      </c>
      <c r="K799" s="7">
        <v>1.6638</v>
      </c>
      <c r="L799" s="3">
        <v>34.31</v>
      </c>
      <c r="M799" s="3">
        <v>17.86</v>
      </c>
    </row>
    <row r="800" spans="1:13">
      <c r="A800" s="8" t="s">
        <v>811</v>
      </c>
      <c r="B800" s="2">
        <f>HYPERLINK("https://www.suredividend.com/sure-analysis-research-database/","Hingham Institution for Savings")</f>
        <v>0</v>
      </c>
      <c r="C800" s="1" t="s">
        <v>1962</v>
      </c>
      <c r="D800" s="3">
        <v>308</v>
      </c>
      <c r="F800" s="4">
        <v>0.00756</v>
      </c>
      <c r="G800" s="3">
        <v>3.22</v>
      </c>
      <c r="K800" s="7">
        <v>1.2385</v>
      </c>
      <c r="L800" s="3">
        <v>317.75</v>
      </c>
      <c r="M800" s="3">
        <v>207.18</v>
      </c>
    </row>
    <row r="801" spans="1:13">
      <c r="A801" s="8" t="s">
        <v>812</v>
      </c>
      <c r="B801" s="2">
        <f>HYPERLINK("https://www.suredividend.com/sure-analysis-research-database/","Hims &amp; Hers Health, Inc.")</f>
        <v>0</v>
      </c>
      <c r="C801" s="1" t="s">
        <v>1959</v>
      </c>
      <c r="D801" s="3">
        <v>29.27</v>
      </c>
      <c r="F801" s="4">
        <v>0</v>
      </c>
      <c r="G801" s="3">
        <v>0</v>
      </c>
      <c r="H801" s="5">
        <v>6576.765569</v>
      </c>
      <c r="I801" s="6">
        <v>49.1577</v>
      </c>
      <c r="J801" s="4">
        <v>0</v>
      </c>
      <c r="K801" s="7">
        <v>2.3779</v>
      </c>
      <c r="L801" s="3">
        <v>72.98</v>
      </c>
      <c r="M801" s="3">
        <v>23.97</v>
      </c>
    </row>
    <row r="802" spans="1:13">
      <c r="A802" s="8" t="s">
        <v>813</v>
      </c>
      <c r="B802" s="2">
        <f>HYPERLINK("https://www.suredividend.com/sure-analysis-research-database/","Hippo Holdings Inc.")</f>
        <v>0</v>
      </c>
      <c r="C802" s="1" t="s">
        <v>1959</v>
      </c>
      <c r="D802" s="3">
        <v>30.9</v>
      </c>
      <c r="F802" s="4">
        <v>0</v>
      </c>
      <c r="G802" s="3">
        <v>0</v>
      </c>
      <c r="H802" s="5">
        <v>783.363735</v>
      </c>
      <c r="I802" s="6">
        <v>8.1685</v>
      </c>
      <c r="J802" s="4">
        <v>0.109179</v>
      </c>
      <c r="K802" s="7">
        <v>1.6013</v>
      </c>
      <c r="L802" s="3">
        <v>38.98</v>
      </c>
      <c r="M802" s="3">
        <v>19.92</v>
      </c>
    </row>
    <row r="803" spans="1:13">
      <c r="A803" s="8" t="s">
        <v>814</v>
      </c>
      <c r="B803" s="2">
        <f>HYPERLINK("https://www.suredividend.com/sure-analysis-research-database/","HECLA MINING CO/DE/")</f>
        <v>0</v>
      </c>
      <c r="C803" s="1" t="s">
        <v>1970</v>
      </c>
      <c r="D803" s="3">
        <v>29</v>
      </c>
      <c r="F803" s="4">
        <v>0.00127</v>
      </c>
      <c r="G803" s="3">
        <v>0.02</v>
      </c>
      <c r="H803" s="5">
        <v>19405.56944</v>
      </c>
      <c r="I803" s="6">
        <v>97.67489999999999</v>
      </c>
      <c r="J803" s="4">
        <v>0.081897</v>
      </c>
      <c r="K803" s="7">
        <v>1.4298</v>
      </c>
      <c r="L803" s="3">
        <v>28.35</v>
      </c>
      <c r="M803" s="3">
        <v>4.45</v>
      </c>
    </row>
    <row r="804" spans="1:13">
      <c r="A804" s="8" t="s">
        <v>815</v>
      </c>
      <c r="B804" s="2">
        <f>HYPERLINK("https://www.suredividend.com/sure-analysis-research-database/","HERBALIFE LTD.")</f>
        <v>0</v>
      </c>
      <c r="C804" s="1" t="s">
        <v>1966</v>
      </c>
      <c r="D804" s="3">
        <v>17.35</v>
      </c>
      <c r="F804" s="4">
        <v>0</v>
      </c>
      <c r="G804" s="3">
        <v>0.6</v>
      </c>
      <c r="H804" s="5">
        <v>1791.407885</v>
      </c>
      <c r="I804" s="6">
        <v>5.5842</v>
      </c>
      <c r="J804" s="4">
        <v>0</v>
      </c>
      <c r="K804" s="7">
        <v>0.2403</v>
      </c>
      <c r="L804" s="3">
        <v>17.13</v>
      </c>
      <c r="M804" s="3">
        <v>5.04</v>
      </c>
    </row>
    <row r="805" spans="1:13">
      <c r="A805" s="8" t="s">
        <v>816</v>
      </c>
      <c r="B805" s="2">
        <f>HYPERLINK("https://www.suredividend.com/sure-analysis-research-database/","HELIOS TECHNOLOGIES, INC.")</f>
        <v>0</v>
      </c>
      <c r="C805" s="1" t="s">
        <v>1964</v>
      </c>
      <c r="D805" s="3">
        <v>68.23999999999999</v>
      </c>
      <c r="E805" s="4">
        <v>0.01</v>
      </c>
      <c r="F805" s="4">
        <v>0.0063</v>
      </c>
      <c r="G805" s="3">
        <v>0.36</v>
      </c>
      <c r="H805" s="5">
        <v>2236.50463</v>
      </c>
      <c r="I805" s="6">
        <v>66.1688</v>
      </c>
      <c r="J805" s="4">
        <v>0.35503</v>
      </c>
      <c r="K805" s="7">
        <v>1.2613</v>
      </c>
      <c r="L805" s="3">
        <v>66</v>
      </c>
      <c r="M805" s="3">
        <v>24.62</v>
      </c>
    </row>
    <row r="806" spans="1:13">
      <c r="A806" s="8" t="s">
        <v>817</v>
      </c>
      <c r="B806" s="2">
        <f>HYPERLINK("https://www.suredividend.com/sure-analysis-research-database/","HARMONIC INC")</f>
        <v>0</v>
      </c>
      <c r="C806" s="1" t="s">
        <v>1960</v>
      </c>
      <c r="D806" s="3">
        <v>10.17</v>
      </c>
      <c r="F806" s="4">
        <v>0</v>
      </c>
      <c r="G806" s="3">
        <v>0.25</v>
      </c>
      <c r="H806" s="5">
        <v>1141.410444</v>
      </c>
      <c r="I806" s="6">
        <v>23.0007</v>
      </c>
      <c r="J806" s="4">
        <v>0</v>
      </c>
      <c r="K806" s="7">
        <v>1.4529</v>
      </c>
      <c r="L806" s="3">
        <v>12.79</v>
      </c>
      <c r="M806" s="3">
        <v>7.8</v>
      </c>
    </row>
    <row r="807" spans="1:13">
      <c r="A807" s="8" t="s">
        <v>818</v>
      </c>
      <c r="B807" s="2">
        <f>HYPERLINK("https://www.suredividend.com/sure-analysis-research-database/","Holley Inc.")</f>
        <v>0</v>
      </c>
      <c r="C807" s="1" t="s">
        <v>1959</v>
      </c>
      <c r="D807" s="3">
        <v>4.19</v>
      </c>
      <c r="F807" s="4">
        <v>0</v>
      </c>
      <c r="G807" s="3">
        <v>0</v>
      </c>
      <c r="H807" s="5">
        <v>506.141567</v>
      </c>
      <c r="J807" s="4">
        <v>0</v>
      </c>
      <c r="K807" s="7">
        <v>1.3039</v>
      </c>
      <c r="L807" s="3">
        <v>4.43</v>
      </c>
      <c r="M807" s="3">
        <v>1.6</v>
      </c>
    </row>
    <row r="808" spans="1:13">
      <c r="A808" s="8" t="s">
        <v>819</v>
      </c>
      <c r="B808" s="2">
        <f>HYPERLINK("https://www.suredividend.com/sure-analysis-research-database/","Hillman Solutions Corp.")</f>
        <v>0</v>
      </c>
      <c r="C808" s="1" t="s">
        <v>1959</v>
      </c>
      <c r="D808" s="3">
        <v>9.945</v>
      </c>
      <c r="F808" s="4">
        <v>0</v>
      </c>
      <c r="G808" s="3">
        <v>0</v>
      </c>
      <c r="H808" s="5">
        <v>3910.6286</v>
      </c>
      <c r="I808" s="6">
        <v>104.3252</v>
      </c>
      <c r="J808" s="4">
        <v>0</v>
      </c>
      <c r="K808" s="7">
        <v>1.2044</v>
      </c>
      <c r="L808" s="3">
        <v>10.64</v>
      </c>
      <c r="M808" s="3">
        <v>6.55</v>
      </c>
    </row>
    <row r="809" spans="1:13">
      <c r="A809" s="8" t="s">
        <v>820</v>
      </c>
      <c r="B809" s="2">
        <f>HYPERLINK("https://www.suredividend.com/sure-analysis-HLNE/","Hamilton Lane INC")</f>
        <v>0</v>
      </c>
      <c r="C809" s="1" t="s">
        <v>1962</v>
      </c>
      <c r="D809" s="3">
        <v>152.83</v>
      </c>
      <c r="E809" s="4">
        <v>0.01413335078191454</v>
      </c>
      <c r="F809" s="4">
        <v>0.01196</v>
      </c>
      <c r="G809" s="3">
        <v>2.11</v>
      </c>
      <c r="H809" s="5">
        <v>8229.730812</v>
      </c>
      <c r="I809" s="6">
        <v>36.0787</v>
      </c>
      <c r="J809" s="4">
        <v>0.386117</v>
      </c>
      <c r="K809" s="7">
        <v>1.3034</v>
      </c>
      <c r="L809" s="3">
        <v>177.13</v>
      </c>
      <c r="M809" s="3">
        <v>111.53</v>
      </c>
    </row>
    <row r="810" spans="1:13">
      <c r="A810" s="8" t="s">
        <v>821</v>
      </c>
      <c r="B810" s="2">
        <f>HYPERLINK("https://www.suredividend.com/sure-analysis-research-database/","HilleVax, Inc.")</f>
        <v>0</v>
      </c>
      <c r="C810" s="1" t="s">
        <v>1959</v>
      </c>
      <c r="D810" s="3">
        <v>2.095</v>
      </c>
      <c r="F810" s="4">
        <v>0</v>
      </c>
      <c r="G810" s="3">
        <v>0</v>
      </c>
      <c r="H810" s="5">
        <v>104.794824</v>
      </c>
      <c r="J810" s="4">
        <v>0</v>
      </c>
      <c r="K810" s="7">
        <v>1.4092</v>
      </c>
    </row>
    <row r="811" spans="1:13">
      <c r="A811" s="8" t="s">
        <v>822</v>
      </c>
      <c r="B811" s="2">
        <f>HYPERLINK("https://www.suredividend.com/sure-analysis-research-database/","HELIX ENERGY SOLUTIONS GROUP INC")</f>
        <v>0</v>
      </c>
      <c r="C811" s="1" t="s">
        <v>1969</v>
      </c>
      <c r="D811" s="3">
        <v>7.45</v>
      </c>
      <c r="F811" s="4">
        <v>0</v>
      </c>
      <c r="G811" s="3">
        <v>0</v>
      </c>
      <c r="H811" s="5">
        <v>1106.048496</v>
      </c>
      <c r="I811" s="6">
        <v>25.9161</v>
      </c>
      <c r="J811" s="4">
        <v>0</v>
      </c>
      <c r="K811" s="7">
        <v>0.9199000000000001</v>
      </c>
      <c r="L811" s="3">
        <v>9.18</v>
      </c>
      <c r="M811" s="3">
        <v>5.52</v>
      </c>
    </row>
    <row r="812" spans="1:13">
      <c r="A812" s="8" t="s">
        <v>823</v>
      </c>
      <c r="B812" s="2">
        <f>HYPERLINK("https://www.suredividend.com/sure-analysis-HMN/","HORACE MANN EDUCATORS CORP /DE/")</f>
        <v>0</v>
      </c>
      <c r="C812" s="1" t="s">
        <v>1962</v>
      </c>
      <c r="D812" s="3">
        <v>42.825</v>
      </c>
      <c r="E812" s="4">
        <v>0.03269118505545825</v>
      </c>
      <c r="F812" s="4">
        <v>0.02912</v>
      </c>
      <c r="G812" s="3">
        <v>1.4</v>
      </c>
      <c r="H812" s="5">
        <v>1741.72348</v>
      </c>
      <c r="I812" s="6">
        <v>10.6138</v>
      </c>
      <c r="J812" s="4">
        <v>0.345521</v>
      </c>
      <c r="K812" s="7">
        <v>0.3049</v>
      </c>
      <c r="L812" s="3">
        <v>47.96</v>
      </c>
      <c r="M812" s="3">
        <v>36.05</v>
      </c>
    </row>
    <row r="813" spans="1:13">
      <c r="A813" s="8" t="s">
        <v>824</v>
      </c>
      <c r="B813" s="2">
        <f>HYPERLINK("https://www.suredividend.com/sure-analysis-research-database/","HomeStreet Inc.")</f>
        <v>0</v>
      </c>
      <c r="C813" s="1" t="s">
        <v>1962</v>
      </c>
      <c r="D813" s="3">
        <v>14.94</v>
      </c>
      <c r="E813" s="4">
        <v>0.01</v>
      </c>
      <c r="F813" s="4">
        <v>0.00283</v>
      </c>
      <c r="G813" s="3">
        <v>0.21</v>
      </c>
      <c r="H813" s="5">
        <v>3307.144068</v>
      </c>
      <c r="J813" s="4">
        <v>0.764406</v>
      </c>
      <c r="L813" s="3">
        <v>15.68</v>
      </c>
      <c r="M813" s="3">
        <v>12.35</v>
      </c>
    </row>
    <row r="814" spans="1:13">
      <c r="A814" s="8" t="s">
        <v>825</v>
      </c>
      <c r="B814" s="2">
        <f>HYPERLINK("https://www.suredividend.com/sure-analysis-HNI/","HNI CORP")</f>
        <v>0</v>
      </c>
      <c r="C814" s="1" t="s">
        <v>1964</v>
      </c>
      <c r="D814" s="3">
        <v>47.51</v>
      </c>
      <c r="E814" s="4">
        <v>0.02862555251525995</v>
      </c>
      <c r="F814" s="4">
        <v>0.02973</v>
      </c>
      <c r="G814" s="3">
        <v>1.35</v>
      </c>
      <c r="H814" s="5">
        <v>2178.359835</v>
      </c>
      <c r="I814" s="6">
        <v>15.3839</v>
      </c>
      <c r="J814" s="4">
        <v>0.446013</v>
      </c>
      <c r="K814" s="7">
        <v>0.9044</v>
      </c>
      <c r="L814" s="3">
        <v>52.41</v>
      </c>
      <c r="M814" s="3">
        <v>38.04</v>
      </c>
    </row>
    <row r="815" spans="1:13">
      <c r="A815" s="8" t="s">
        <v>826</v>
      </c>
      <c r="B815" s="2">
        <f>HYPERLINK("https://www.suredividend.com/sure-analysis-research-database/","HALLADOR ENERGY CO")</f>
        <v>0</v>
      </c>
      <c r="C815" s="1" t="s">
        <v>1969</v>
      </c>
      <c r="D815" s="3">
        <v>20.45</v>
      </c>
      <c r="F815" s="4">
        <v>0</v>
      </c>
      <c r="G815" s="3">
        <v>0.16</v>
      </c>
      <c r="H815" s="5">
        <v>880.882621</v>
      </c>
      <c r="J815" s="4">
        <v>0</v>
      </c>
      <c r="K815" s="7">
        <v>0.9645</v>
      </c>
      <c r="L815" s="3">
        <v>24.7</v>
      </c>
      <c r="M815" s="3">
        <v>8.369999999999999</v>
      </c>
    </row>
    <row r="816" spans="1:13">
      <c r="A816" s="8" t="s">
        <v>827</v>
      </c>
      <c r="B816" s="2">
        <f>HYPERLINK("https://www.suredividend.com/sure-analysis-research-database/","Honest Company, Inc.")</f>
        <v>0</v>
      </c>
      <c r="C816" s="1" t="s">
        <v>1959</v>
      </c>
      <c r="D816" s="3">
        <v>2.52</v>
      </c>
      <c r="F816" s="4">
        <v>0</v>
      </c>
      <c r="G816" s="3">
        <v>0</v>
      </c>
      <c r="H816" s="5">
        <v>278.358778</v>
      </c>
      <c r="I816" s="6">
        <v>39.3551</v>
      </c>
      <c r="J816" s="4">
        <v>0</v>
      </c>
      <c r="K816" s="7">
        <v>1.459</v>
      </c>
      <c r="L816" s="3">
        <v>6.81</v>
      </c>
      <c r="M816" s="3">
        <v>2.31</v>
      </c>
    </row>
    <row r="817" spans="1:13">
      <c r="A817" s="8" t="s">
        <v>828</v>
      </c>
      <c r="B817" s="2">
        <f>HYPERLINK("https://www.suredividend.com/sure-analysis-research-database/","HOOKER FURNISHINGS Corp")</f>
        <v>0</v>
      </c>
      <c r="C817" s="1" t="s">
        <v>1963</v>
      </c>
      <c r="D817" s="3">
        <v>13.16</v>
      </c>
      <c r="E817" s="4">
        <v>0.06</v>
      </c>
      <c r="F817" s="4">
        <v>0.07017</v>
      </c>
      <c r="G817" s="3">
        <v>0.8100000000000001</v>
      </c>
      <c r="H817" s="5">
        <v>139.7056</v>
      </c>
      <c r="K817" s="7">
        <v>1.0886</v>
      </c>
      <c r="L817" s="3">
        <v>13.47</v>
      </c>
      <c r="M817" s="3">
        <v>6.95</v>
      </c>
    </row>
    <row r="818" spans="1:13">
      <c r="A818" s="8" t="s">
        <v>829</v>
      </c>
      <c r="B818" s="2">
        <f>HYPERLINK("https://www.suredividend.com/sure-analysis-HOMB/","HOME BANCSHARES INC")</f>
        <v>0</v>
      </c>
      <c r="C818" s="1" t="s">
        <v>1962</v>
      </c>
      <c r="D818" s="3">
        <v>29.43</v>
      </c>
      <c r="E818" s="4">
        <v>0.02854230377166157</v>
      </c>
      <c r="F818" s="4">
        <v>0.02451</v>
      </c>
      <c r="G818" s="3">
        <v>0.8</v>
      </c>
      <c r="H818" s="5">
        <v>5786.207667</v>
      </c>
      <c r="I818" s="6">
        <v>12.6397</v>
      </c>
      <c r="J818" s="4">
        <v>0.341717</v>
      </c>
      <c r="K818" s="7">
        <v>0.8716</v>
      </c>
      <c r="L818" s="3">
        <v>30.42</v>
      </c>
      <c r="M818" s="3">
        <v>23.71</v>
      </c>
    </row>
    <row r="819" spans="1:13">
      <c r="A819" s="8" t="s">
        <v>830</v>
      </c>
      <c r="B819" s="2">
        <f>HYPERLINK("https://www.suredividend.com/sure-analysis-research-database/","HarborOne Bancorp, Inc.")</f>
        <v>0</v>
      </c>
      <c r="C819" s="1" t="s">
        <v>1962</v>
      </c>
      <c r="D819" s="3">
        <v>12.14</v>
      </c>
      <c r="F819" s="4">
        <v>0.02264</v>
      </c>
      <c r="G819" s="3">
        <v>0.43</v>
      </c>
      <c r="J819" s="4">
        <v>0.510524</v>
      </c>
      <c r="K819" s="7">
        <v>0.8439</v>
      </c>
    </row>
    <row r="820" spans="1:13">
      <c r="A820" s="8" t="s">
        <v>831</v>
      </c>
      <c r="B820" s="2">
        <f>HYPERLINK("https://www.suredividend.com/sure-analysis-research-database/","HOPE BANCORP INC")</f>
        <v>0</v>
      </c>
      <c r="C820" s="1" t="s">
        <v>1962</v>
      </c>
      <c r="D820" s="3">
        <v>12.165</v>
      </c>
      <c r="E820" s="4">
        <v>0.05</v>
      </c>
      <c r="F820" s="4">
        <v>0.04973</v>
      </c>
      <c r="G820" s="3">
        <v>0.5600000000000001</v>
      </c>
      <c r="H820" s="5">
        <v>1560.026468</v>
      </c>
      <c r="I820" s="6">
        <v>32.2353</v>
      </c>
      <c r="J820" s="4">
        <v>1.439921</v>
      </c>
      <c r="K820" s="7">
        <v>0.9993</v>
      </c>
      <c r="L820" s="3">
        <v>11.97</v>
      </c>
      <c r="M820" s="3">
        <v>8.470000000000001</v>
      </c>
    </row>
    <row r="821" spans="1:13">
      <c r="A821" s="8" t="s">
        <v>832</v>
      </c>
      <c r="B821" s="2">
        <f>HYPERLINK("https://www.suredividend.com/sure-analysis-research-database/","Anywhere Real Estate Inc.")</f>
        <v>0</v>
      </c>
      <c r="C821" s="1" t="s">
        <v>1959</v>
      </c>
      <c r="D821" s="3">
        <v>18.03</v>
      </c>
      <c r="F821" s="4">
        <v>0</v>
      </c>
      <c r="G821" s="3">
        <v>0.36</v>
      </c>
      <c r="H821" s="5">
        <v>1977.985477</v>
      </c>
      <c r="J821" s="4">
        <v>0</v>
      </c>
      <c r="K821" s="7">
        <v>2.048</v>
      </c>
    </row>
    <row r="822" spans="1:13">
      <c r="A822" s="8" t="s">
        <v>833</v>
      </c>
      <c r="B822" s="2">
        <f>HYPERLINK("https://www.suredividend.com/sure-analysis-research-database/","HOVNANIAN ENTERPRISES INC")</f>
        <v>0</v>
      </c>
      <c r="C822" s="1" t="s">
        <v>1963</v>
      </c>
      <c r="D822" s="3">
        <v>124.91</v>
      </c>
      <c r="F822" s="4">
        <v>0</v>
      </c>
      <c r="G822" s="3">
        <v>0</v>
      </c>
      <c r="H822" s="5">
        <v>745.453741</v>
      </c>
      <c r="I822" s="6">
        <v>6.8271</v>
      </c>
      <c r="J822" s="4">
        <v>0.167149</v>
      </c>
      <c r="K822" s="7">
        <v>1.9637</v>
      </c>
      <c r="L822" s="3">
        <v>162.06</v>
      </c>
      <c r="M822" s="3">
        <v>81.15000000000001</v>
      </c>
    </row>
    <row r="823" spans="1:13">
      <c r="A823" s="8" t="s">
        <v>834</v>
      </c>
      <c r="B823" s="2">
        <f>HYPERLINK("https://www.suredividend.com/sure-analysis-research-database/","Werewolf Therapeutics, Inc.")</f>
        <v>0</v>
      </c>
      <c r="C823" s="1" t="s">
        <v>1959</v>
      </c>
      <c r="D823" s="3">
        <v>0.5971</v>
      </c>
      <c r="F823" s="4">
        <v>0</v>
      </c>
      <c r="G823" s="3">
        <v>0</v>
      </c>
      <c r="H823" s="5">
        <v>29.02704</v>
      </c>
      <c r="J823" s="4">
        <v>0</v>
      </c>
      <c r="K823" s="7">
        <v>1.8793</v>
      </c>
      <c r="L823" s="3">
        <v>2.38</v>
      </c>
      <c r="M823" s="3">
        <v>0.53</v>
      </c>
    </row>
    <row r="824" spans="1:13">
      <c r="A824" s="8" t="s">
        <v>835</v>
      </c>
      <c r="B824" s="2">
        <f>HYPERLINK("https://www.suredividend.com/sure-analysis-research-database/","Helmerich &amp; Payne, Inc.")</f>
        <v>0</v>
      </c>
      <c r="C824" s="1" t="s">
        <v>1969</v>
      </c>
      <c r="D824" s="3">
        <v>33.07</v>
      </c>
      <c r="E824" s="4">
        <v>0.03</v>
      </c>
      <c r="F824" s="4">
        <v>0.03463</v>
      </c>
      <c r="G824" s="3">
        <v>1</v>
      </c>
      <c r="H824" s="5">
        <v>3249.780793</v>
      </c>
      <c r="K824" s="7">
        <v>1.0095</v>
      </c>
      <c r="L824" s="3">
        <v>34.96</v>
      </c>
      <c r="M824" s="3">
        <v>14.32</v>
      </c>
    </row>
    <row r="825" spans="1:13">
      <c r="A825" s="8" t="s">
        <v>836</v>
      </c>
      <c r="B825" s="2">
        <f>HYPERLINK("https://www.suredividend.com/sure-analysis-research-database/","HighPeak Energy, Inc.")</f>
        <v>0</v>
      </c>
      <c r="C825" s="1" t="s">
        <v>1959</v>
      </c>
      <c r="D825" s="3">
        <v>4.27</v>
      </c>
      <c r="E825" s="4">
        <v>0.04</v>
      </c>
      <c r="F825" s="4">
        <v>0.03024</v>
      </c>
      <c r="G825" s="3">
        <v>0.16</v>
      </c>
      <c r="H825" s="5">
        <v>536.256887</v>
      </c>
      <c r="I825" s="6">
        <v>10.1305</v>
      </c>
      <c r="J825" s="4">
        <v>0.426002</v>
      </c>
      <c r="K825" s="7">
        <v>0.8894</v>
      </c>
      <c r="L825" s="3">
        <v>14.72</v>
      </c>
      <c r="M825" s="3">
        <v>4</v>
      </c>
    </row>
    <row r="826" spans="1:13">
      <c r="A826" s="8" t="s">
        <v>837</v>
      </c>
      <c r="B826" s="2">
        <f>HYPERLINK("https://www.suredividend.com/sure-analysis-research-database/","Hudson Pacific Properties, Inc.")</f>
        <v>0</v>
      </c>
      <c r="C826" s="1" t="s">
        <v>1961</v>
      </c>
      <c r="D826" s="3">
        <v>9.41</v>
      </c>
      <c r="F826" s="4">
        <v>0.33971</v>
      </c>
      <c r="G826" s="3">
        <v>0.7</v>
      </c>
      <c r="H826" s="5">
        <v>509.610563</v>
      </c>
      <c r="K826" s="7">
        <v>1.467</v>
      </c>
      <c r="L826" s="3">
        <v>24.01</v>
      </c>
      <c r="M826" s="3">
        <v>9.140000000000001</v>
      </c>
    </row>
    <row r="827" spans="1:13">
      <c r="A827" s="8" t="s">
        <v>838</v>
      </c>
      <c r="B827" s="2">
        <f>HYPERLINK("https://www.suredividend.com/sure-analysis-research-database/","HireQuest, Inc.")</f>
        <v>0</v>
      </c>
      <c r="C827" s="1" t="s">
        <v>1964</v>
      </c>
      <c r="D827" s="3">
        <v>11.47</v>
      </c>
      <c r="E827" s="4">
        <v>0.02</v>
      </c>
      <c r="F827" s="4">
        <v>0.02224</v>
      </c>
      <c r="G827" s="3">
        <v>0.24</v>
      </c>
      <c r="H827" s="5">
        <v>161.163</v>
      </c>
      <c r="I827" s="6">
        <v>23.1956</v>
      </c>
      <c r="J827" s="4">
        <v>0.485032</v>
      </c>
      <c r="K827" s="7">
        <v>0.3925</v>
      </c>
      <c r="L827" s="3">
        <v>15.39</v>
      </c>
      <c r="M827" s="3">
        <v>7.38</v>
      </c>
    </row>
    <row r="828" spans="1:13">
      <c r="A828" s="8" t="s">
        <v>839</v>
      </c>
      <c r="B828" s="2">
        <f>HYPERLINK("https://www.suredividend.com/sure-analysis-research-database/","HEALTHEQUITY, INC.")</f>
        <v>0</v>
      </c>
      <c r="C828" s="1" t="s">
        <v>1965</v>
      </c>
      <c r="D828" s="3">
        <v>84.75</v>
      </c>
      <c r="F828" s="4">
        <v>0</v>
      </c>
      <c r="G828" s="3">
        <v>0</v>
      </c>
      <c r="H828" s="5">
        <v>7227.055433</v>
      </c>
      <c r="I828" s="6">
        <v>37.6751</v>
      </c>
      <c r="J828" s="4">
        <v>0</v>
      </c>
      <c r="K828" s="7">
        <v>0.5687</v>
      </c>
      <c r="L828" s="3">
        <v>116.65</v>
      </c>
      <c r="M828" s="3">
        <v>74.06999999999999</v>
      </c>
    </row>
    <row r="829" spans="1:13">
      <c r="A829" s="8" t="s">
        <v>840</v>
      </c>
      <c r="B829" s="2">
        <f>HYPERLINK("https://www.suredividend.com/sure-analysis-research-database/","HERC HOLDINGS INC")</f>
        <v>0</v>
      </c>
      <c r="C829" s="1" t="s">
        <v>1964</v>
      </c>
      <c r="D829" s="3">
        <v>164.7</v>
      </c>
      <c r="E829" s="4">
        <v>0.02</v>
      </c>
      <c r="F829" s="4">
        <v>0.01337</v>
      </c>
      <c r="G829" s="3">
        <v>2.8</v>
      </c>
      <c r="H829" s="5">
        <v>5479.854593</v>
      </c>
      <c r="K829" s="7">
        <v>1.7477</v>
      </c>
      <c r="L829" s="3">
        <v>208.11</v>
      </c>
      <c r="M829" s="3">
        <v>94.67</v>
      </c>
    </row>
    <row r="830" spans="1:13">
      <c r="A830" s="8" t="s">
        <v>841</v>
      </c>
      <c r="B830" s="2">
        <f>HYPERLINK("https://www.suredividend.com/sure-analysis-research-database/","Harmony Biosciences Holdings, Inc.")</f>
        <v>0</v>
      </c>
      <c r="C830" s="1" t="s">
        <v>1959</v>
      </c>
      <c r="D830" s="3">
        <v>36.76</v>
      </c>
      <c r="F830" s="4">
        <v>0</v>
      </c>
      <c r="G830" s="3">
        <v>0</v>
      </c>
      <c r="H830" s="5">
        <v>2113.210375</v>
      </c>
      <c r="I830" s="6">
        <v>11.3899</v>
      </c>
      <c r="J830" s="4">
        <v>0</v>
      </c>
      <c r="K830" s="7">
        <v>1.2089</v>
      </c>
      <c r="L830" s="3">
        <v>40.93</v>
      </c>
      <c r="M830" s="3">
        <v>25.52</v>
      </c>
    </row>
    <row r="831" spans="1:13">
      <c r="A831" s="8" t="s">
        <v>842</v>
      </c>
      <c r="B831" s="2">
        <f>HYPERLINK("https://www.suredividend.com/sure-analysis-research-database/","HARROW, INC.")</f>
        <v>0</v>
      </c>
      <c r="C831" s="1" t="s">
        <v>1965</v>
      </c>
      <c r="D831" s="3">
        <v>47.4</v>
      </c>
      <c r="F831" s="4">
        <v>0</v>
      </c>
      <c r="G831" s="3">
        <v>0</v>
      </c>
      <c r="H831" s="5">
        <v>1745.204785</v>
      </c>
      <c r="J831" s="4">
        <v>0</v>
      </c>
      <c r="K831" s="7">
        <v>1.6674</v>
      </c>
      <c r="L831" s="3">
        <v>54.85</v>
      </c>
      <c r="M831" s="3">
        <v>20.85</v>
      </c>
    </row>
    <row r="832" spans="1:13">
      <c r="A832" s="8" t="s">
        <v>843</v>
      </c>
      <c r="B832" s="2">
        <f>HYPERLINK("https://www.suredividend.com/sure-analysis-research-database/","Heritage Insurance Holdings, Inc.")</f>
        <v>0</v>
      </c>
      <c r="C832" s="1" t="s">
        <v>1962</v>
      </c>
      <c r="D832" s="3">
        <v>25.94</v>
      </c>
      <c r="F832" s="4">
        <v>0.00272</v>
      </c>
      <c r="G832" s="3">
        <v>0.24</v>
      </c>
      <c r="H832" s="5">
        <v>801.53351</v>
      </c>
      <c r="I832" s="6">
        <v>5.3718</v>
      </c>
      <c r="J832" s="4">
        <v>0</v>
      </c>
      <c r="K832" s="7">
        <v>0.6088</v>
      </c>
      <c r="L832" s="3">
        <v>31.98</v>
      </c>
      <c r="M832" s="3">
        <v>9.890000000000001</v>
      </c>
    </row>
    <row r="833" spans="1:13">
      <c r="A833" s="8" t="s">
        <v>844</v>
      </c>
      <c r="B833" s="2">
        <f>HYPERLINK("https://www.suredividend.com/sure-analysis-research-database/","HERON THERAPEUTICS, INC. /DE/")</f>
        <v>0</v>
      </c>
      <c r="C833" s="1" t="s">
        <v>1965</v>
      </c>
      <c r="D833" s="3">
        <v>1.45</v>
      </c>
      <c r="F833" s="4">
        <v>0</v>
      </c>
      <c r="G833" s="3">
        <v>0</v>
      </c>
      <c r="H833" s="5">
        <v>267.709282</v>
      </c>
      <c r="J833" s="4">
        <v>0</v>
      </c>
      <c r="K833" s="7">
        <v>1.3516</v>
      </c>
      <c r="L833" s="3">
        <v>2.68</v>
      </c>
      <c r="M833" s="3">
        <v>1</v>
      </c>
    </row>
    <row r="834" spans="1:13">
      <c r="A834" s="8" t="s">
        <v>845</v>
      </c>
      <c r="B834" s="2">
        <f>HYPERLINK("https://www.suredividend.com/sure-analysis-HSHP/","Himalaya Shipping Ltd.")</f>
        <v>0</v>
      </c>
      <c r="C834" s="1" t="s">
        <v>1959</v>
      </c>
      <c r="D834" s="3">
        <v>9.380000000000001</v>
      </c>
      <c r="E834" s="4">
        <v>0.06929637526652452</v>
      </c>
      <c r="F834" s="4">
        <v>0.02248</v>
      </c>
      <c r="G834" s="3">
        <v>0.57</v>
      </c>
      <c r="H834" s="5">
        <v>417.05</v>
      </c>
      <c r="I834" s="6">
        <v>19.818</v>
      </c>
      <c r="J834" s="4">
        <v>0.980469</v>
      </c>
      <c r="K834" s="7">
        <v>0.6551</v>
      </c>
      <c r="L834" s="3">
        <v>9.880000000000001</v>
      </c>
      <c r="M834" s="3">
        <v>3.93</v>
      </c>
    </row>
    <row r="835" spans="1:13">
      <c r="A835" s="8" t="s">
        <v>846</v>
      </c>
      <c r="B835" s="2">
        <f>HYPERLINK("https://www.suredividend.com/sure-analysis-research-database/","HEIDRICK &amp; STRUGGLES INTERNATIONAL INC")</f>
        <v>0</v>
      </c>
      <c r="C835" s="1" t="s">
        <v>1964</v>
      </c>
      <c r="D835" s="3">
        <v>59.005</v>
      </c>
      <c r="E835" s="4">
        <v>0.01</v>
      </c>
      <c r="F835" s="4">
        <v>0.01017</v>
      </c>
      <c r="G835" s="3">
        <v>0.6</v>
      </c>
      <c r="H835" s="5">
        <v>1226.849942</v>
      </c>
      <c r="I835" s="6">
        <v>33.1143</v>
      </c>
      <c r="J835" s="4">
        <v>0.351399</v>
      </c>
      <c r="K835" s="7">
        <v>0.8431</v>
      </c>
    </row>
    <row r="836" spans="1:13">
      <c r="A836" s="8" t="s">
        <v>847</v>
      </c>
      <c r="B836" s="2">
        <f>HYPERLINK("https://www.suredividend.com/sure-analysis-research-database/","HEALTHSTREAM INC")</f>
        <v>0</v>
      </c>
      <c r="C836" s="1" t="s">
        <v>1965</v>
      </c>
      <c r="D836" s="3">
        <v>21.23</v>
      </c>
      <c r="E836" s="4">
        <v>0.01</v>
      </c>
      <c r="F836" s="4">
        <v>0.0029</v>
      </c>
      <c r="G836" s="3">
        <v>0.12</v>
      </c>
      <c r="H836" s="5">
        <v>630.1512300000001</v>
      </c>
      <c r="I836" s="6">
        <v>30.4509</v>
      </c>
      <c r="J836" s="4">
        <v>0.176911</v>
      </c>
      <c r="K836" s="7">
        <v>0.5662</v>
      </c>
      <c r="L836" s="3">
        <v>34.09</v>
      </c>
      <c r="M836" s="3">
        <v>21.06</v>
      </c>
    </row>
    <row r="837" spans="1:13">
      <c r="A837" s="8" t="s">
        <v>848</v>
      </c>
      <c r="B837" s="2">
        <f>HYPERLINK("https://www.suredividend.com/sure-analysis-HTB/","HomeTrust Bancshares, Inc.")</f>
        <v>0</v>
      </c>
      <c r="C837" s="1" t="s">
        <v>1959</v>
      </c>
      <c r="D837" s="3">
        <v>45.25</v>
      </c>
      <c r="E837" s="4">
        <v>0.01149171270718232</v>
      </c>
      <c r="F837" s="4">
        <v>0.0095</v>
      </c>
      <c r="G837" s="3">
        <v>0.49</v>
      </c>
      <c r="H837" s="5">
        <v>790.040209</v>
      </c>
      <c r="I837" s="6">
        <v>12.6512</v>
      </c>
      <c r="J837" s="4">
        <v>0.131565</v>
      </c>
      <c r="K837" s="7">
        <v>0.9245</v>
      </c>
      <c r="L837" s="3">
        <v>47.64</v>
      </c>
      <c r="M837" s="3">
        <v>30.66</v>
      </c>
    </row>
    <row r="838" spans="1:13">
      <c r="A838" s="8" t="s">
        <v>849</v>
      </c>
      <c r="B838" s="2">
        <f>HYPERLINK("https://www.suredividend.com/sure-analysis-research-database/","HERITAGE COMMERCE CORP")</f>
        <v>0</v>
      </c>
      <c r="C838" s="1" t="s">
        <v>1962</v>
      </c>
      <c r="D838" s="3">
        <v>13.455</v>
      </c>
      <c r="E838" s="4">
        <v>0.04</v>
      </c>
      <c r="F838" s="4">
        <v>0.04228</v>
      </c>
      <c r="G838" s="3">
        <v>0.52</v>
      </c>
      <c r="H838" s="5">
        <v>824.8764619999999</v>
      </c>
      <c r="I838" s="6">
        <v>19.0353</v>
      </c>
      <c r="J838" s="4">
        <v>0.736581</v>
      </c>
      <c r="K838" s="7">
        <v>0.8226</v>
      </c>
      <c r="L838" s="3">
        <v>12.94</v>
      </c>
      <c r="M838" s="3">
        <v>7.77</v>
      </c>
    </row>
    <row r="839" spans="1:13">
      <c r="A839" s="8" t="s">
        <v>850</v>
      </c>
      <c r="B839" s="2">
        <f>HYPERLINK("https://www.suredividend.com/sure-analysis-HTH/","Hilltop Holdings Inc.")</f>
        <v>0</v>
      </c>
      <c r="C839" s="1" t="s">
        <v>1962</v>
      </c>
      <c r="D839" s="3">
        <v>36.84</v>
      </c>
      <c r="E839" s="4">
        <v>0.01954397394136808</v>
      </c>
      <c r="F839" s="4">
        <v>0.01893</v>
      </c>
      <c r="G839" s="3">
        <v>0.72</v>
      </c>
      <c r="H839" s="5">
        <v>2259.956588</v>
      </c>
      <c r="I839" s="6">
        <v>14.1667</v>
      </c>
      <c r="J839" s="4">
        <v>0.271932</v>
      </c>
      <c r="K839" s="7">
        <v>0.7383999999999999</v>
      </c>
      <c r="L839" s="3">
        <v>35.94</v>
      </c>
      <c r="M839" s="3">
        <v>26.89</v>
      </c>
    </row>
    <row r="840" spans="1:13">
      <c r="A840" s="8" t="s">
        <v>851</v>
      </c>
      <c r="B840" s="2">
        <f>HYPERLINK("https://www.suredividend.com/sure-analysis-research-database/","HEARTLAND EXPRESS INC")</f>
        <v>0</v>
      </c>
      <c r="C840" s="1" t="s">
        <v>1964</v>
      </c>
      <c r="D840" s="3">
        <v>10.535</v>
      </c>
      <c r="E840" s="4">
        <v>0.01</v>
      </c>
      <c r="F840" s="4">
        <v>0.00781</v>
      </c>
      <c r="G840" s="3">
        <v>0.08</v>
      </c>
      <c r="H840" s="5">
        <v>816.29704</v>
      </c>
      <c r="K840" s="7">
        <v>0.9449</v>
      </c>
      <c r="L840" s="3">
        <v>12.08</v>
      </c>
      <c r="M840" s="3">
        <v>6.98</v>
      </c>
    </row>
    <row r="841" spans="1:13">
      <c r="A841" s="8" t="s">
        <v>852</v>
      </c>
      <c r="B841" s="2">
        <f>HYPERLINK("https://www.suredividend.com/sure-analysis-research-database/","HERTZ GLOBAL HOLDINGS, INC")</f>
        <v>0</v>
      </c>
      <c r="C841" s="1" t="s">
        <v>1964</v>
      </c>
      <c r="D841" s="3">
        <v>5.93</v>
      </c>
      <c r="F841" s="4">
        <v>0</v>
      </c>
      <c r="G841" s="3">
        <v>0</v>
      </c>
      <c r="H841" s="5">
        <v>1832.166869</v>
      </c>
      <c r="J841" s="4">
        <v>0</v>
      </c>
      <c r="K841" s="7">
        <v>0.6827</v>
      </c>
      <c r="L841" s="3">
        <v>9.390000000000001</v>
      </c>
      <c r="M841" s="3">
        <v>3.26</v>
      </c>
    </row>
    <row r="842" spans="1:13">
      <c r="A842" s="8" t="s">
        <v>853</v>
      </c>
      <c r="B842" s="2">
        <f>HYPERLINK("https://www.suredividend.com/sure-analysis-research-database/","Hub Group, Inc.")</f>
        <v>0</v>
      </c>
      <c r="C842" s="1" t="s">
        <v>1964</v>
      </c>
      <c r="D842" s="3">
        <v>47.93</v>
      </c>
      <c r="E842" s="4">
        <v>0.01</v>
      </c>
      <c r="F842" s="4">
        <v>0.00444</v>
      </c>
      <c r="G842" s="3">
        <v>0.5</v>
      </c>
      <c r="H842" s="5">
        <v>2931.087734</v>
      </c>
      <c r="I842" s="6">
        <v>27.9231</v>
      </c>
      <c r="J842" s="4">
        <v>0.294736</v>
      </c>
      <c r="K842" s="7">
        <v>1.0605</v>
      </c>
      <c r="L842" s="3">
        <v>47.68</v>
      </c>
      <c r="M842" s="3">
        <v>30.44</v>
      </c>
    </row>
    <row r="843" spans="1:13">
      <c r="A843" s="8" t="s">
        <v>854</v>
      </c>
      <c r="B843" s="2">
        <f>HYPERLINK("https://www.suredividend.com/sure-analysis-research-database/","Humacyte, Inc.")</f>
        <v>0</v>
      </c>
      <c r="C843" s="1" t="s">
        <v>1959</v>
      </c>
      <c r="D843" s="3">
        <v>1.01</v>
      </c>
      <c r="F843" s="4">
        <v>0</v>
      </c>
      <c r="G843" s="3">
        <v>0</v>
      </c>
      <c r="H843" s="5">
        <v>183.525895</v>
      </c>
      <c r="J843" s="4">
        <v>0</v>
      </c>
      <c r="K843" s="7">
        <v>2.4447</v>
      </c>
      <c r="L843" s="3">
        <v>4.85</v>
      </c>
      <c r="M843" s="3">
        <v>0.91</v>
      </c>
    </row>
    <row r="844" spans="1:13">
      <c r="A844" s="8" t="s">
        <v>855</v>
      </c>
      <c r="B844" s="2">
        <f>HYPERLINK("https://www.suredividend.com/sure-analysis-research-database/","Huron Consulting Group Inc.")</f>
        <v>0</v>
      </c>
      <c r="C844" s="1" t="s">
        <v>1964</v>
      </c>
      <c r="D844" s="3">
        <v>176.6</v>
      </c>
      <c r="F844" s="4">
        <v>0</v>
      </c>
      <c r="G844" s="3">
        <v>0</v>
      </c>
      <c r="H844" s="5">
        <v>3041.56737</v>
      </c>
      <c r="I844" s="6">
        <v>28.0652</v>
      </c>
      <c r="J844" s="4">
        <v>0</v>
      </c>
      <c r="K844" s="7">
        <v>0.5824</v>
      </c>
      <c r="L844" s="3">
        <v>186.78</v>
      </c>
      <c r="M844" s="3">
        <v>120.25</v>
      </c>
    </row>
    <row r="845" spans="1:13">
      <c r="A845" s="8" t="s">
        <v>856</v>
      </c>
      <c r="B845" s="2">
        <f>HYPERLINK("https://www.suredividend.com/sure-analysis-research-database/","Hut 8 Corp.")</f>
        <v>0</v>
      </c>
      <c r="C845" s="1" t="s">
        <v>1959</v>
      </c>
      <c r="D845" s="3">
        <v>59.92</v>
      </c>
      <c r="F845" s="4">
        <v>0</v>
      </c>
      <c r="G845" s="3">
        <v>0</v>
      </c>
      <c r="H845" s="5">
        <v>6367.67909</v>
      </c>
      <c r="I845" s="6">
        <v>30.9476</v>
      </c>
      <c r="J845" s="4">
        <v>0</v>
      </c>
      <c r="K845" s="7">
        <v>2.1938</v>
      </c>
      <c r="L845" s="3">
        <v>62.91</v>
      </c>
      <c r="M845" s="3">
        <v>10.04</v>
      </c>
    </row>
    <row r="846" spans="1:13">
      <c r="A846" s="8" t="s">
        <v>857</v>
      </c>
      <c r="B846" s="2">
        <f>HYPERLINK("https://www.suredividend.com/sure-analysis-HVT/","HAVERTY FURNITURE COMPANIES INC")</f>
        <v>0</v>
      </c>
      <c r="C846" s="1" t="s">
        <v>1963</v>
      </c>
      <c r="D846" s="3">
        <v>27.05</v>
      </c>
      <c r="E846" s="4">
        <v>0.04879852125693161</v>
      </c>
      <c r="F846" s="4">
        <v>0.047</v>
      </c>
      <c r="G846" s="3">
        <v>1.29</v>
      </c>
      <c r="H846" s="5">
        <v>440.343007</v>
      </c>
      <c r="I846" s="6">
        <v>22.5736</v>
      </c>
      <c r="J846" s="4">
        <v>1.067756</v>
      </c>
      <c r="K846" s="7">
        <v>1.1116</v>
      </c>
      <c r="L846" s="3">
        <v>27.19</v>
      </c>
      <c r="M846" s="3">
        <v>16.29</v>
      </c>
    </row>
    <row r="847" spans="1:13">
      <c r="A847" s="8" t="s">
        <v>858</v>
      </c>
      <c r="B847" s="2">
        <f>HYPERLINK("https://www.suredividend.com/sure-analysis-research-database/","HANCOCK WHITNEY CORP")</f>
        <v>0</v>
      </c>
      <c r="C847" s="1" t="s">
        <v>1962</v>
      </c>
      <c r="D847" s="3">
        <v>69.22</v>
      </c>
      <c r="E847" s="4">
        <v>0.03</v>
      </c>
      <c r="F847" s="4">
        <v>0.02003</v>
      </c>
      <c r="G847" s="3">
        <v>1.8</v>
      </c>
      <c r="H847" s="5">
        <v>5786.864174</v>
      </c>
      <c r="I847" s="6">
        <v>11.9916</v>
      </c>
      <c r="J847" s="4">
        <v>0.313485</v>
      </c>
      <c r="K847" s="7">
        <v>1.1842</v>
      </c>
      <c r="L847" s="3">
        <v>68.84</v>
      </c>
      <c r="M847" s="3">
        <v>42.92</v>
      </c>
    </row>
    <row r="848" spans="1:13">
      <c r="A848" s="8" t="s">
        <v>859</v>
      </c>
      <c r="B848" s="2">
        <f>HYPERLINK("https://www.suredividend.com/sure-analysis-HWKN/","HAWKINS INC")</f>
        <v>0</v>
      </c>
      <c r="C848" s="1" t="s">
        <v>1970</v>
      </c>
      <c r="D848" s="3">
        <v>154.6</v>
      </c>
      <c r="E848" s="4">
        <v>0.004915912031047865</v>
      </c>
      <c r="F848" s="4">
        <v>0.00414</v>
      </c>
      <c r="G848" s="3">
        <v>0.74</v>
      </c>
      <c r="H848" s="5">
        <v>3219.18583</v>
      </c>
      <c r="I848" s="6">
        <v>38.1669</v>
      </c>
      <c r="J848" s="4">
        <v>0.173514</v>
      </c>
      <c r="K848" s="7">
        <v>0.9926</v>
      </c>
      <c r="L848" s="3">
        <v>185.87</v>
      </c>
      <c r="M848" s="3">
        <v>97.91</v>
      </c>
    </row>
    <row r="849" spans="1:13">
      <c r="A849" s="8" t="s">
        <v>860</v>
      </c>
      <c r="B849" s="2">
        <f>HYPERLINK("https://www.suredividend.com/sure-analysis-HY/","HYSTER-YALE, INC.")</f>
        <v>0</v>
      </c>
      <c r="C849" s="1" t="s">
        <v>1964</v>
      </c>
      <c r="D849" s="3">
        <v>33.97</v>
      </c>
      <c r="E849" s="4">
        <v>0.04239034442154842</v>
      </c>
      <c r="F849" s="4">
        <v>0.04083</v>
      </c>
      <c r="G849" s="3">
        <v>1.43</v>
      </c>
      <c r="H849" s="5">
        <v>603.303672</v>
      </c>
      <c r="I849" s="6">
        <v>223.4458</v>
      </c>
      <c r="J849" s="4">
        <v>6.116279</v>
      </c>
      <c r="K849" s="7">
        <v>1.2692</v>
      </c>
      <c r="L849" s="3">
        <v>55.77</v>
      </c>
      <c r="M849" s="3">
        <v>26.08</v>
      </c>
    </row>
    <row r="850" spans="1:13">
      <c r="A850" s="8" t="s">
        <v>861</v>
      </c>
      <c r="B850" s="2">
        <f>HYPERLINK("https://www.suredividend.com/sure-analysis-research-database/","Hyliion Holdings Corp.")</f>
        <v>0</v>
      </c>
      <c r="C850" s="1" t="s">
        <v>1959</v>
      </c>
      <c r="D850" s="3">
        <v>2.16</v>
      </c>
      <c r="F850" s="4">
        <v>0</v>
      </c>
      <c r="G850" s="3">
        <v>0</v>
      </c>
      <c r="H850" s="5">
        <v>380.104332</v>
      </c>
      <c r="J850" s="4">
        <v>0</v>
      </c>
      <c r="K850" s="7">
        <v>2.1069</v>
      </c>
      <c r="L850" s="3">
        <v>2.57</v>
      </c>
      <c r="M850" s="3">
        <v>1.11</v>
      </c>
    </row>
    <row r="851" spans="1:13">
      <c r="A851" s="8" t="s">
        <v>862</v>
      </c>
      <c r="B851" s="2">
        <f>HYPERLINK("https://www.suredividend.com/sure-analysis-research-database/","MARINEMAX INC")</f>
        <v>0</v>
      </c>
      <c r="C851" s="1" t="s">
        <v>1963</v>
      </c>
      <c r="D851" s="3">
        <v>28.63</v>
      </c>
      <c r="F851" s="4">
        <v>0</v>
      </c>
      <c r="G851" s="3">
        <v>0</v>
      </c>
      <c r="H851" s="5">
        <v>626.561691</v>
      </c>
      <c r="J851" s="4">
        <v>0</v>
      </c>
      <c r="K851" s="7">
        <v>1.671</v>
      </c>
      <c r="L851" s="3">
        <v>33.28</v>
      </c>
      <c r="M851" s="3">
        <v>16.85</v>
      </c>
    </row>
    <row r="852" spans="1:13">
      <c r="A852" s="8" t="s">
        <v>863</v>
      </c>
      <c r="B852" s="2">
        <f>HYPERLINK("https://www.suredividend.com/sure-analysis-research-database/","INTEGRA LIFESCIENCES HOLDINGS CORP")</f>
        <v>0</v>
      </c>
      <c r="C852" s="1" t="s">
        <v>1965</v>
      </c>
      <c r="D852" s="3">
        <v>12.19</v>
      </c>
      <c r="F852" s="4">
        <v>0</v>
      </c>
      <c r="G852" s="3">
        <v>0</v>
      </c>
      <c r="H852" s="5">
        <v>949.504833</v>
      </c>
      <c r="J852" s="4">
        <v>0</v>
      </c>
      <c r="K852" s="7">
        <v>1.5962</v>
      </c>
      <c r="L852" s="3">
        <v>27.13</v>
      </c>
      <c r="M852" s="3">
        <v>10.87</v>
      </c>
    </row>
    <row r="853" spans="1:13">
      <c r="A853" s="8" t="s">
        <v>864</v>
      </c>
      <c r="B853" s="2">
        <f>HYPERLINK("https://www.suredividend.com/sure-analysis-research-database/","INTEGRAL AD SCIENCE HOLDING CORP.")</f>
        <v>0</v>
      </c>
      <c r="C853" s="1" t="s">
        <v>1959</v>
      </c>
      <c r="D853" s="3">
        <v>10.33</v>
      </c>
      <c r="F853" s="4">
        <v>0</v>
      </c>
      <c r="G853" s="3">
        <v>0</v>
      </c>
      <c r="H853" s="5">
        <v>1735.61583</v>
      </c>
      <c r="I853" s="6">
        <v>37.1517</v>
      </c>
      <c r="J853" s="4">
        <v>0</v>
      </c>
      <c r="K853" s="7">
        <v>1.4123</v>
      </c>
    </row>
    <row r="854" spans="1:13">
      <c r="A854" s="8" t="s">
        <v>865</v>
      </c>
      <c r="B854" s="2">
        <f>HYPERLINK("https://www.suredividend.com/sure-analysis-research-database/","i-80 Gold Corp.")</f>
        <v>0</v>
      </c>
      <c r="C854" s="1" t="s">
        <v>1959</v>
      </c>
      <c r="D854" s="3">
        <v>1.74</v>
      </c>
      <c r="F854" s="4">
        <v>0</v>
      </c>
      <c r="G854" s="3">
        <v>0</v>
      </c>
      <c r="H854" s="5">
        <v>411.597957</v>
      </c>
      <c r="J854" s="4">
        <v>0</v>
      </c>
      <c r="K854" s="7">
        <v>1.9491</v>
      </c>
      <c r="L854" s="3">
        <v>1.82</v>
      </c>
      <c r="M854" s="3">
        <v>0.48</v>
      </c>
    </row>
    <row r="855" spans="1:13">
      <c r="A855" s="8" t="s">
        <v>866</v>
      </c>
      <c r="B855" s="2">
        <f>HYPERLINK("https://www.suredividend.com/sure-analysis-IBCP/","INDEPENDENT BANK CORP /MI/")</f>
        <v>0</v>
      </c>
      <c r="C855" s="1" t="s">
        <v>1962</v>
      </c>
      <c r="D855" s="3">
        <v>35.06</v>
      </c>
      <c r="E855" s="4">
        <v>0.03194523673702225</v>
      </c>
      <c r="F855" s="4">
        <v>0.02828</v>
      </c>
      <c r="G855" s="3">
        <v>1.04</v>
      </c>
      <c r="H855" s="5">
        <v>725.252918</v>
      </c>
      <c r="I855" s="6">
        <v>10.5985</v>
      </c>
      <c r="J855" s="4">
        <v>0.310288</v>
      </c>
      <c r="K855" s="7">
        <v>0.837</v>
      </c>
      <c r="L855" s="3">
        <v>36.19</v>
      </c>
      <c r="M855" s="3">
        <v>26.08</v>
      </c>
    </row>
    <row r="856" spans="1:13">
      <c r="A856" s="8" t="s">
        <v>867</v>
      </c>
      <c r="B856" s="2">
        <f>HYPERLINK("https://www.suredividend.com/sure-analysis-research-database/","IBEX Ltd")</f>
        <v>0</v>
      </c>
      <c r="C856" s="1" t="s">
        <v>1959</v>
      </c>
      <c r="D856" s="3">
        <v>37.59</v>
      </c>
      <c r="F856" s="4">
        <v>0</v>
      </c>
      <c r="G856" s="3">
        <v>0</v>
      </c>
      <c r="H856" s="5">
        <v>506.096437</v>
      </c>
      <c r="K856" s="7">
        <v>0.851</v>
      </c>
      <c r="L856" s="3">
        <v>42.99</v>
      </c>
      <c r="M856" s="3">
        <v>21.2</v>
      </c>
    </row>
    <row r="857" spans="1:13">
      <c r="A857" s="8" t="s">
        <v>868</v>
      </c>
      <c r="B857" s="2">
        <f>HYPERLINK("https://www.suredividend.com/sure-analysis-IBOC/","INTERNATIONAL BANCSHARES CORP")</f>
        <v>0</v>
      </c>
      <c r="C857" s="1" t="s">
        <v>1962</v>
      </c>
      <c r="D857" s="3">
        <v>71.41500000000001</v>
      </c>
      <c r="E857" s="4">
        <v>0.01960372470769446</v>
      </c>
      <c r="F857" s="4">
        <v>0.01841</v>
      </c>
      <c r="G857" s="3">
        <v>1.4</v>
      </c>
      <c r="H857" s="5">
        <v>4444.096282</v>
      </c>
      <c r="I857" s="6">
        <v>10.5688</v>
      </c>
      <c r="J857" s="4">
        <v>0.207045</v>
      </c>
      <c r="K857" s="7">
        <v>0.9108000000000001</v>
      </c>
      <c r="L857" s="3">
        <v>73.66</v>
      </c>
      <c r="M857" s="3">
        <v>53.57</v>
      </c>
    </row>
    <row r="858" spans="1:13">
      <c r="A858" s="8" t="s">
        <v>869</v>
      </c>
      <c r="B858" s="2">
        <f>HYPERLINK("https://www.suredividend.com/sure-analysis-IBP/","Installed Building Products, Inc.")</f>
        <v>0</v>
      </c>
      <c r="C858" s="1" t="s">
        <v>1964</v>
      </c>
      <c r="D858" s="3">
        <v>303.89</v>
      </c>
      <c r="E858" s="4">
        <v>0.004870183290006253</v>
      </c>
      <c r="F858" s="4">
        <v>0.00745</v>
      </c>
      <c r="G858" s="3">
        <v>3.18</v>
      </c>
      <c r="H858" s="5">
        <v>8306.869328000001</v>
      </c>
      <c r="I858" s="6">
        <v>33.0556</v>
      </c>
      <c r="J858" s="4">
        <v>0.350802</v>
      </c>
      <c r="K858" s="7">
        <v>1.3605</v>
      </c>
      <c r="L858" s="3">
        <v>317.86</v>
      </c>
      <c r="M858" s="3">
        <v>150.09</v>
      </c>
    </row>
    <row r="859" spans="1:13">
      <c r="A859" s="8" t="s">
        <v>870</v>
      </c>
      <c r="B859" s="2">
        <f>HYPERLINK("https://www.suredividend.com/sure-analysis-research-database/","ImmunityBio, Inc.")</f>
        <v>0</v>
      </c>
      <c r="C859" s="1" t="s">
        <v>1959</v>
      </c>
      <c r="D859" s="3">
        <v>7.06</v>
      </c>
      <c r="F859" s="4">
        <v>0</v>
      </c>
      <c r="G859" s="3">
        <v>0</v>
      </c>
      <c r="H859" s="5">
        <v>6815.959039</v>
      </c>
      <c r="J859" s="4">
        <v>0</v>
      </c>
      <c r="K859" s="7">
        <v>2.0062</v>
      </c>
      <c r="L859" s="3">
        <v>7.98</v>
      </c>
      <c r="M859" s="3">
        <v>1.83</v>
      </c>
    </row>
    <row r="860" spans="1:13">
      <c r="A860" s="8" t="s">
        <v>871</v>
      </c>
      <c r="B860" s="2">
        <f>HYPERLINK("https://www.suredividend.com/sure-analysis-research-database/","Ibotta, Inc.")</f>
        <v>0</v>
      </c>
      <c r="D860" s="3">
        <v>24.155</v>
      </c>
      <c r="F860" s="4">
        <v>0</v>
      </c>
      <c r="G860" s="3">
        <v>0</v>
      </c>
      <c r="H860" s="5">
        <v>642.240593</v>
      </c>
      <c r="I860" s="6">
        <v>7.9534</v>
      </c>
      <c r="J860" s="4">
        <v>0</v>
      </c>
      <c r="K860" s="7">
        <v>1.175</v>
      </c>
      <c r="L860" s="3">
        <v>76</v>
      </c>
      <c r="M860" s="3">
        <v>20.6</v>
      </c>
    </row>
    <row r="861" spans="1:13">
      <c r="A861" s="8" t="s">
        <v>872</v>
      </c>
      <c r="B861" s="2">
        <f>HYPERLINK("https://www.suredividend.com/sure-analysis-research-database/","ICF International, Inc.")</f>
        <v>0</v>
      </c>
      <c r="C861" s="1" t="s">
        <v>1964</v>
      </c>
      <c r="D861" s="3">
        <v>95.95</v>
      </c>
      <c r="E861" s="4">
        <v>0.01</v>
      </c>
      <c r="F861" s="4">
        <v>0.00638</v>
      </c>
      <c r="G861" s="3">
        <v>0.5600000000000001</v>
      </c>
      <c r="H861" s="5">
        <v>1766.899723</v>
      </c>
      <c r="I861" s="6">
        <v>17.8762</v>
      </c>
      <c r="J861" s="4">
        <v>0.10524</v>
      </c>
      <c r="K861" s="7">
        <v>0.5705</v>
      </c>
      <c r="L861" s="3">
        <v>134.47</v>
      </c>
      <c r="M861" s="3">
        <v>71.91</v>
      </c>
    </row>
    <row r="862" spans="1:13">
      <c r="A862" s="8" t="s">
        <v>873</v>
      </c>
      <c r="B862" s="2">
        <f>HYPERLINK("https://www.suredividend.com/sure-analysis-research-database/","ICHOR HOLDINGS, LTD.")</f>
        <v>0</v>
      </c>
      <c r="C862" s="1" t="s">
        <v>1960</v>
      </c>
      <c r="D862" s="3">
        <v>33.62</v>
      </c>
      <c r="F862" s="4">
        <v>0</v>
      </c>
      <c r="G862" s="3">
        <v>0</v>
      </c>
      <c r="H862" s="5">
        <v>1144.307208</v>
      </c>
      <c r="J862" s="4">
        <v>0</v>
      </c>
      <c r="K862" s="7">
        <v>2.3377</v>
      </c>
      <c r="L862" s="3">
        <v>35.56</v>
      </c>
      <c r="M862" s="3">
        <v>13.12</v>
      </c>
    </row>
    <row r="863" spans="1:13">
      <c r="A863" s="8" t="s">
        <v>874</v>
      </c>
      <c r="B863" s="2">
        <f>HYPERLINK("https://www.suredividend.com/sure-analysis-research-database/","ICU MEDICAL INC/DE")</f>
        <v>0</v>
      </c>
      <c r="C863" s="1" t="s">
        <v>1965</v>
      </c>
      <c r="D863" s="3">
        <v>155.84</v>
      </c>
      <c r="F863" s="4">
        <v>0</v>
      </c>
      <c r="G863" s="3">
        <v>0</v>
      </c>
      <c r="H863" s="5">
        <v>3829.641566</v>
      </c>
      <c r="J863" s="4">
        <v>0</v>
      </c>
      <c r="K863" s="7">
        <v>0.8411</v>
      </c>
      <c r="L863" s="3">
        <v>175.51</v>
      </c>
      <c r="M863" s="3">
        <v>107</v>
      </c>
    </row>
    <row r="864" spans="1:13">
      <c r="A864" s="8" t="s">
        <v>875</v>
      </c>
      <c r="B864" s="2">
        <f>HYPERLINK("https://www.suredividend.com/sure-analysis-research-database/","InterDigital, Inc.")</f>
        <v>0</v>
      </c>
      <c r="C864" s="1" t="s">
        <v>1968</v>
      </c>
      <c r="D864" s="3">
        <v>335</v>
      </c>
      <c r="E864" s="4">
        <v>0.01</v>
      </c>
      <c r="F864" s="4">
        <v>0.00534</v>
      </c>
      <c r="G864" s="3">
        <v>2.6</v>
      </c>
      <c r="H864" s="5">
        <v>8572.67837</v>
      </c>
      <c r="I864" s="6">
        <v>17.2565</v>
      </c>
      <c r="J864" s="4">
        <v>0.10873</v>
      </c>
      <c r="K864" s="7">
        <v>0.8394</v>
      </c>
      <c r="L864" s="3">
        <v>411.68</v>
      </c>
      <c r="M864" s="3">
        <v>168.16</v>
      </c>
    </row>
    <row r="865" spans="1:13">
      <c r="A865" s="8" t="s">
        <v>876</v>
      </c>
      <c r="B865" s="2">
        <f>HYPERLINK("https://www.suredividend.com/sure-analysis-research-database/","IDT CORP")</f>
        <v>0</v>
      </c>
      <c r="C865" s="1" t="s">
        <v>1968</v>
      </c>
      <c r="D865" s="3">
        <v>49.6</v>
      </c>
      <c r="E865" s="4">
        <v>0.01</v>
      </c>
      <c r="F865" s="4">
        <v>0.00169</v>
      </c>
      <c r="G865" s="3">
        <v>0.29</v>
      </c>
      <c r="H865" s="5">
        <v>1243.136544</v>
      </c>
      <c r="I865" s="6">
        <v>15.3082</v>
      </c>
      <c r="J865" s="4">
        <v>0.068621</v>
      </c>
      <c r="K865" s="7">
        <v>0.5919</v>
      </c>
      <c r="L865" s="3">
        <v>70.97</v>
      </c>
      <c r="M865" s="3">
        <v>44.88</v>
      </c>
    </row>
    <row r="866" spans="1:13">
      <c r="A866" s="8" t="s">
        <v>877</v>
      </c>
      <c r="B866" s="2">
        <f>HYPERLINK("https://www.suredividend.com/sure-analysis-research-database/","IDEAYA Biosciences, Inc.")</f>
        <v>0</v>
      </c>
      <c r="C866" s="1" t="s">
        <v>1965</v>
      </c>
      <c r="D866" s="3">
        <v>36.78</v>
      </c>
      <c r="F866" s="4">
        <v>0</v>
      </c>
      <c r="G866" s="3">
        <v>0</v>
      </c>
      <c r="H866" s="5">
        <v>3156.867352</v>
      </c>
      <c r="J866" s="4">
        <v>0</v>
      </c>
      <c r="K866" s="7">
        <v>1.3544</v>
      </c>
      <c r="L866" s="3">
        <v>39.28</v>
      </c>
      <c r="M866" s="3">
        <v>13.45</v>
      </c>
    </row>
    <row r="867" spans="1:13">
      <c r="A867" s="8" t="s">
        <v>878</v>
      </c>
      <c r="B867" s="2">
        <f>HYPERLINK("https://www.suredividend.com/sure-analysis-research-database/","Ivanhoe Electric Inc.")</f>
        <v>0</v>
      </c>
      <c r="C867" s="1" t="s">
        <v>1959</v>
      </c>
      <c r="D867" s="3">
        <v>18.14</v>
      </c>
      <c r="F867" s="4">
        <v>0</v>
      </c>
      <c r="G867" s="3">
        <v>0</v>
      </c>
      <c r="H867" s="5">
        <v>2597.630247</v>
      </c>
      <c r="J867" s="4">
        <v>0</v>
      </c>
      <c r="K867" s="7">
        <v>1.7987</v>
      </c>
      <c r="L867" s="3">
        <v>18.58</v>
      </c>
      <c r="M867" s="3">
        <v>4.5</v>
      </c>
    </row>
    <row r="868" spans="1:13">
      <c r="A868" s="8" t="s">
        <v>879</v>
      </c>
      <c r="B868" s="2">
        <f>HYPERLINK("https://www.suredividend.com/sure-analysis-research-database/","IES Holdings, Inc.")</f>
        <v>0</v>
      </c>
      <c r="C868" s="1" t="s">
        <v>1964</v>
      </c>
      <c r="D868" s="3">
        <v>478.8</v>
      </c>
      <c r="F868" s="4">
        <v>0</v>
      </c>
      <c r="G868" s="3">
        <v>0</v>
      </c>
      <c r="H868" s="5">
        <v>9419.610762</v>
      </c>
      <c r="I868" s="6">
        <v>30.7856</v>
      </c>
      <c r="J868" s="4">
        <v>0.036934</v>
      </c>
      <c r="K868" s="7">
        <v>1.7389</v>
      </c>
      <c r="L868" s="3">
        <v>482.35</v>
      </c>
      <c r="M868" s="3">
        <v>146.52</v>
      </c>
    </row>
    <row r="869" spans="1:13">
      <c r="A869" s="8" t="s">
        <v>880</v>
      </c>
      <c r="B869" s="2">
        <f>HYPERLINK("https://www.suredividend.com/sure-analysis-research-database/","IGM Biosciences, Inc.")</f>
        <v>0</v>
      </c>
      <c r="C869" s="1" t="s">
        <v>1965</v>
      </c>
      <c r="D869" s="3">
        <v>1.28</v>
      </c>
      <c r="F869" s="4">
        <v>0</v>
      </c>
      <c r="G869" s="3">
        <v>0</v>
      </c>
      <c r="H869" s="5">
        <v>76.57171200000001</v>
      </c>
      <c r="J869" s="4">
        <v>0</v>
      </c>
      <c r="K869" s="7">
        <v>2.0141</v>
      </c>
    </row>
    <row r="870" spans="1:13">
      <c r="A870" s="8" t="s">
        <v>881</v>
      </c>
      <c r="B870" s="2">
        <f>HYPERLINK("https://www.suredividend.com/sure-analysis-research-database/","International Game Technology PLC")</f>
        <v>0</v>
      </c>
      <c r="C870" s="1" t="s">
        <v>1963</v>
      </c>
      <c r="D870" s="3">
        <v>13.96</v>
      </c>
      <c r="E870" s="4">
        <v>0.29</v>
      </c>
      <c r="F870" s="4">
        <v>0.08566</v>
      </c>
      <c r="G870" s="3">
        <v>4.02</v>
      </c>
      <c r="H870" s="5">
        <v>2815.929772</v>
      </c>
      <c r="I870" s="6">
        <v>8.091799999999999</v>
      </c>
      <c r="J870" s="4">
        <v>0.773622</v>
      </c>
      <c r="K870" s="7">
        <v>1.0251</v>
      </c>
      <c r="L870" s="3">
        <v>18.31</v>
      </c>
      <c r="M870" s="3">
        <v>11.07</v>
      </c>
    </row>
    <row r="871" spans="1:13">
      <c r="A871" s="8" t="s">
        <v>882</v>
      </c>
      <c r="B871" s="2">
        <f>HYPERLINK("https://www.suredividend.com/sure-analysis-research-database/","iHeartMedia, Inc.")</f>
        <v>0</v>
      </c>
      <c r="C871" s="1" t="s">
        <v>1968</v>
      </c>
      <c r="D871" s="3">
        <v>3.765</v>
      </c>
      <c r="F871" s="4">
        <v>0</v>
      </c>
      <c r="G871" s="3">
        <v>0</v>
      </c>
      <c r="H871" s="5">
        <v>566.09762</v>
      </c>
      <c r="K871" s="7">
        <v>1.7449</v>
      </c>
      <c r="L871" s="3">
        <v>5.44</v>
      </c>
      <c r="M871" s="3">
        <v>0.95</v>
      </c>
    </row>
    <row r="872" spans="1:13">
      <c r="A872" s="8" t="s">
        <v>883</v>
      </c>
      <c r="B872" s="2">
        <f>HYPERLINK("https://www.suredividend.com/sure-analysis-research-database/","Information Services Group Inc.")</f>
        <v>0</v>
      </c>
      <c r="C872" s="1" t="s">
        <v>1960</v>
      </c>
      <c r="D872" s="3">
        <v>5.63</v>
      </c>
      <c r="E872" s="4">
        <v>0.03</v>
      </c>
      <c r="F872" s="4">
        <v>0.02663</v>
      </c>
      <c r="G872" s="3">
        <v>0.18</v>
      </c>
      <c r="H872" s="5">
        <v>269.587506</v>
      </c>
      <c r="I872" s="6">
        <v>26.0799</v>
      </c>
      <c r="J872" s="4">
        <v>1.176272</v>
      </c>
      <c r="K872" s="7">
        <v>0.8901</v>
      </c>
      <c r="L872" s="3">
        <v>6.4</v>
      </c>
      <c r="M872" s="3">
        <v>2.84</v>
      </c>
    </row>
    <row r="873" spans="1:13">
      <c r="A873" s="8" t="s">
        <v>884</v>
      </c>
      <c r="B873" s="2">
        <f>HYPERLINK("https://www.suredividend.com/sure-analysis-research-database/","INSTEEL INDUSTRIES INC")</f>
        <v>0</v>
      </c>
      <c r="C873" s="1" t="s">
        <v>1964</v>
      </c>
      <c r="D873" s="3">
        <v>33.1</v>
      </c>
      <c r="E873" s="4">
        <v>0.03</v>
      </c>
      <c r="F873" s="4">
        <v>0.03177</v>
      </c>
      <c r="G873" s="3">
        <v>1.12</v>
      </c>
      <c r="H873" s="5">
        <v>642.989997</v>
      </c>
      <c r="I873" s="6">
        <v>13.5275</v>
      </c>
      <c r="J873" s="4">
        <v>0.457061</v>
      </c>
      <c r="K873" s="7">
        <v>1.3984</v>
      </c>
      <c r="L873" s="3">
        <v>40.26</v>
      </c>
      <c r="M873" s="3">
        <v>21.72</v>
      </c>
    </row>
    <row r="874" spans="1:13">
      <c r="A874" s="8" t="s">
        <v>885</v>
      </c>
      <c r="B874" s="2">
        <f>HYPERLINK("https://www.suredividend.com/sure-analysis-research-database/","i3 Verticals, Inc.")</f>
        <v>0</v>
      </c>
      <c r="C874" s="1" t="s">
        <v>1960</v>
      </c>
      <c r="D874" s="3">
        <v>24.25</v>
      </c>
      <c r="F874" s="4">
        <v>0</v>
      </c>
      <c r="G874" s="3">
        <v>0</v>
      </c>
      <c r="H874" s="5">
        <v>784.2557</v>
      </c>
      <c r="I874" s="6">
        <v>43.8794</v>
      </c>
      <c r="J874" s="4">
        <v>1.331887</v>
      </c>
      <c r="K874" s="7">
        <v>1.0077</v>
      </c>
      <c r="L874" s="3">
        <v>33.97</v>
      </c>
      <c r="M874" s="3">
        <v>22</v>
      </c>
    </row>
    <row r="875" spans="1:13">
      <c r="A875" s="8" t="s">
        <v>886</v>
      </c>
      <c r="B875" s="2">
        <f>HYPERLINK("https://www.suredividend.com/sure-analysis-IIPR/","INNOVATIVE INDUSTRIAL PROPERTIES INC")</f>
        <v>0</v>
      </c>
      <c r="C875" s="1" t="s">
        <v>1961</v>
      </c>
      <c r="D875" s="3">
        <v>50.44</v>
      </c>
      <c r="E875" s="4">
        <v>0.1506740681998414</v>
      </c>
      <c r="F875" s="4">
        <v>0.14363</v>
      </c>
      <c r="G875" s="3">
        <v>7.6</v>
      </c>
      <c r="H875" s="5">
        <v>1411.237021</v>
      </c>
      <c r="I875" s="6">
        <v>11.4557</v>
      </c>
      <c r="J875" s="4">
        <v>1.736441</v>
      </c>
      <c r="K875" s="7">
        <v>1.1106</v>
      </c>
      <c r="L875" s="3">
        <v>65.94</v>
      </c>
      <c r="M875" s="3">
        <v>40.79</v>
      </c>
    </row>
    <row r="876" spans="1:13">
      <c r="A876" s="8" t="s">
        <v>887</v>
      </c>
      <c r="B876" s="2">
        <f>HYPERLINK("https://www.suredividend.com/sure-analysis-research-database/","Industrial Logistics Properties Trust")</f>
        <v>0</v>
      </c>
      <c r="C876" s="1" t="s">
        <v>1961</v>
      </c>
      <c r="D876" s="3">
        <v>5.95</v>
      </c>
      <c r="E876" s="4">
        <v>0.02</v>
      </c>
      <c r="F876" s="4">
        <v>0.0742</v>
      </c>
      <c r="G876" s="3">
        <v>0.12</v>
      </c>
      <c r="H876" s="5">
        <v>396.622448</v>
      </c>
      <c r="K876" s="7">
        <v>1.5617</v>
      </c>
      <c r="L876" s="3">
        <v>6.51</v>
      </c>
      <c r="M876" s="3">
        <v>2.4</v>
      </c>
    </row>
    <row r="877" spans="1:13">
      <c r="A877" s="8" t="s">
        <v>888</v>
      </c>
      <c r="B877" s="2">
        <f>HYPERLINK("https://www.suredividend.com/sure-analysis-research-database/","IMAX CORP")</f>
        <v>0</v>
      </c>
      <c r="C877" s="1" t="s">
        <v>1968</v>
      </c>
      <c r="D877" s="3">
        <v>36.645</v>
      </c>
      <c r="F877" s="4">
        <v>0</v>
      </c>
      <c r="G877" s="3">
        <v>0</v>
      </c>
      <c r="H877" s="5">
        <v>1971.730931</v>
      </c>
      <c r="I877" s="6">
        <v>49.8604</v>
      </c>
      <c r="J877" s="4">
        <v>0</v>
      </c>
      <c r="K877" s="7">
        <v>0.3396</v>
      </c>
      <c r="L877" s="3">
        <v>39.98</v>
      </c>
      <c r="M877" s="3">
        <v>20.48</v>
      </c>
    </row>
    <row r="878" spans="1:13">
      <c r="A878" s="8" t="s">
        <v>889</v>
      </c>
      <c r="B878" s="2">
        <f>HYPERLINK("https://www.suredividend.com/sure-analysis-research-database/","INGLES MARKETS INC")</f>
        <v>0</v>
      </c>
      <c r="C878" s="1" t="s">
        <v>1966</v>
      </c>
      <c r="D878" s="3">
        <v>71.26000000000001</v>
      </c>
      <c r="E878" s="4">
        <v>0.01</v>
      </c>
      <c r="F878" s="4">
        <v>0.00911</v>
      </c>
      <c r="G878" s="3">
        <v>0.66</v>
      </c>
      <c r="H878" s="5">
        <v>1355.248728</v>
      </c>
      <c r="I878" s="6">
        <v>16.4368</v>
      </c>
      <c r="J878" s="4">
        <v>0.146776</v>
      </c>
      <c r="K878" s="7">
        <v>0.2593</v>
      </c>
      <c r="L878" s="3">
        <v>78.40000000000001</v>
      </c>
      <c r="M878" s="3">
        <v>58.35</v>
      </c>
    </row>
    <row r="879" spans="1:13">
      <c r="A879" s="8" t="s">
        <v>890</v>
      </c>
      <c r="B879" s="2">
        <f>HYPERLINK("https://www.suredividend.com/sure-analysis-research-database/","Immersion Corporation")</f>
        <v>0</v>
      </c>
      <c r="C879" s="1" t="s">
        <v>1960</v>
      </c>
      <c r="D879" s="3">
        <v>6.67</v>
      </c>
      <c r="E879" s="4">
        <v>0.03</v>
      </c>
      <c r="F879" s="4">
        <v>0.02096</v>
      </c>
      <c r="G879" s="3">
        <v>0.21</v>
      </c>
      <c r="H879" s="5">
        <v>212.844558</v>
      </c>
      <c r="I879" s="6">
        <v>3.411</v>
      </c>
      <c r="J879" s="4">
        <v>0.08558</v>
      </c>
      <c r="K879" s="7">
        <v>0.9598</v>
      </c>
      <c r="L879" s="3">
        <v>8.539999999999999</v>
      </c>
      <c r="M879" s="3">
        <v>5.59</v>
      </c>
    </row>
    <row r="880" spans="1:13">
      <c r="A880" s="8" t="s">
        <v>891</v>
      </c>
      <c r="B880" s="2">
        <f>HYPERLINK("https://www.suredividend.com/sure-analysis-research-database/","Immunome Inc.")</f>
        <v>0</v>
      </c>
      <c r="C880" s="1" t="s">
        <v>1959</v>
      </c>
      <c r="D880" s="3">
        <v>24.87</v>
      </c>
      <c r="F880" s="4">
        <v>0</v>
      </c>
      <c r="G880" s="3">
        <v>0</v>
      </c>
      <c r="H880" s="5">
        <v>2280.834589</v>
      </c>
      <c r="J880" s="4">
        <v>0</v>
      </c>
      <c r="K880" s="7">
        <v>1.3192</v>
      </c>
      <c r="L880" s="3">
        <v>25.3</v>
      </c>
      <c r="M880" s="3">
        <v>5.15</v>
      </c>
    </row>
    <row r="881" spans="1:13">
      <c r="A881" s="8" t="s">
        <v>892</v>
      </c>
      <c r="B881" s="2">
        <f>HYPERLINK("https://www.suredividend.com/sure-analysis-research-database/","Immunovant, Inc.")</f>
        <v>0</v>
      </c>
      <c r="C881" s="1" t="s">
        <v>1965</v>
      </c>
      <c r="D881" s="3">
        <v>26.08</v>
      </c>
      <c r="F881" s="4">
        <v>0</v>
      </c>
      <c r="G881" s="3">
        <v>0</v>
      </c>
      <c r="H881" s="5">
        <v>4560.695207</v>
      </c>
      <c r="J881" s="4">
        <v>0</v>
      </c>
      <c r="K881" s="7">
        <v>0.8598</v>
      </c>
      <c r="L881" s="3">
        <v>27.8</v>
      </c>
      <c r="M881" s="3">
        <v>12.72</v>
      </c>
    </row>
    <row r="882" spans="1:13">
      <c r="A882" s="8" t="s">
        <v>893</v>
      </c>
      <c r="B882" s="2">
        <f>HYPERLINK("https://www.suredividend.com/sure-analysis-research-database/","International Money Express, Inc.")</f>
        <v>0</v>
      </c>
      <c r="C882" s="1" t="s">
        <v>1960</v>
      </c>
      <c r="D882" s="3">
        <v>15.5</v>
      </c>
      <c r="F882" s="4">
        <v>0</v>
      </c>
      <c r="G882" s="3">
        <v>0</v>
      </c>
      <c r="H882" s="5">
        <v>460.937518</v>
      </c>
      <c r="I882" s="6">
        <v>11.7815</v>
      </c>
      <c r="J882" s="4">
        <v>0</v>
      </c>
      <c r="K882" s="7">
        <v>1.0107</v>
      </c>
      <c r="L882" s="3">
        <v>21.29</v>
      </c>
      <c r="M882" s="3">
        <v>8.58</v>
      </c>
    </row>
    <row r="883" spans="1:13">
      <c r="A883" s="8" t="s">
        <v>894</v>
      </c>
      <c r="B883" s="2">
        <f>HYPERLINK("https://www.suredividend.com/sure-analysis-research-database/","First Internet Bancorp")</f>
        <v>0</v>
      </c>
      <c r="C883" s="1" t="s">
        <v>1962</v>
      </c>
      <c r="D883" s="3">
        <v>23.23</v>
      </c>
      <c r="E883" s="4">
        <v>0.01</v>
      </c>
      <c r="F883" s="4">
        <v>0.01159</v>
      </c>
      <c r="G883" s="3">
        <v>0.24</v>
      </c>
      <c r="H883" s="5">
        <v>202.068442</v>
      </c>
      <c r="K883" s="7">
        <v>1.079</v>
      </c>
      <c r="L883" s="3">
        <v>35.33</v>
      </c>
      <c r="M883" s="3">
        <v>17</v>
      </c>
    </row>
    <row r="884" spans="1:13">
      <c r="A884" s="8" t="s">
        <v>895</v>
      </c>
      <c r="B884" s="2">
        <f>HYPERLINK("https://www.suredividend.com/sure-analysis-research-database/","Inhibrx Biosciences, Inc.")</f>
        <v>0</v>
      </c>
      <c r="C884" s="1" t="s">
        <v>1959</v>
      </c>
      <c r="D884" s="3">
        <v>75.98999999999999</v>
      </c>
      <c r="F884" s="4">
        <v>0</v>
      </c>
      <c r="G884" s="3">
        <v>0</v>
      </c>
      <c r="H884" s="5">
        <v>1092.234724</v>
      </c>
      <c r="J884" s="4">
        <v>0</v>
      </c>
      <c r="K884" s="7">
        <v>0.765</v>
      </c>
      <c r="L884" s="3">
        <v>94.56999999999999</v>
      </c>
      <c r="M884" s="3">
        <v>10.81</v>
      </c>
    </row>
    <row r="885" spans="1:13">
      <c r="A885" s="8" t="s">
        <v>896</v>
      </c>
      <c r="B885" s="2">
        <f>HYPERLINK("https://www.suredividend.com/sure-analysis-INDB/","INDEPENDENT BANK CORP")</f>
        <v>0</v>
      </c>
      <c r="C885" s="1" t="s">
        <v>1962</v>
      </c>
      <c r="D885" s="3">
        <v>79.345</v>
      </c>
      <c r="E885" s="4">
        <v>0.0297435251118533</v>
      </c>
      <c r="F885" s="4">
        <v>0.02886</v>
      </c>
      <c r="G885" s="3">
        <v>2.36</v>
      </c>
      <c r="H885" s="5">
        <v>6745.821627</v>
      </c>
      <c r="I885" s="6">
        <v>37.5141</v>
      </c>
      <c r="J885" s="4">
        <v>0.549046</v>
      </c>
      <c r="K885" s="7">
        <v>1.0072</v>
      </c>
      <c r="L885" s="3">
        <v>77.56</v>
      </c>
      <c r="M885" s="3">
        <v>50.84</v>
      </c>
    </row>
    <row r="886" spans="1:13">
      <c r="A886" s="8" t="s">
        <v>897</v>
      </c>
      <c r="B886" s="2">
        <f>HYPERLINK("https://www.suredividend.com/sure-analysis-research-database/","indie Semiconductor, Inc.")</f>
        <v>0</v>
      </c>
      <c r="C886" s="1" t="s">
        <v>1959</v>
      </c>
      <c r="D886" s="3">
        <v>4.31</v>
      </c>
      <c r="F886" s="4">
        <v>0</v>
      </c>
      <c r="G886" s="3">
        <v>0</v>
      </c>
      <c r="H886" s="5">
        <v>933.438125</v>
      </c>
      <c r="J886" s="4">
        <v>0</v>
      </c>
      <c r="K886" s="7">
        <v>2.7955</v>
      </c>
      <c r="L886" s="3">
        <v>6.05</v>
      </c>
      <c r="M886" s="3">
        <v>1.53</v>
      </c>
    </row>
    <row r="887" spans="1:13">
      <c r="A887" s="8" t="s">
        <v>898</v>
      </c>
      <c r="B887" s="2">
        <f>HYPERLINK("https://www.suredividend.com/sure-analysis-research-database/","InfuSystem Holdings, Inc")</f>
        <v>0</v>
      </c>
      <c r="C887" s="1" t="s">
        <v>1965</v>
      </c>
      <c r="D887" s="3">
        <v>8.789999999999999</v>
      </c>
      <c r="F887" s="4">
        <v>0</v>
      </c>
      <c r="G887" s="3">
        <v>0</v>
      </c>
      <c r="H887" s="5">
        <v>175.297897</v>
      </c>
      <c r="I887" s="6">
        <v>31.5568</v>
      </c>
      <c r="J887" s="4">
        <v>0</v>
      </c>
      <c r="K887" s="7">
        <v>1.4712</v>
      </c>
      <c r="L887" s="3">
        <v>11.04</v>
      </c>
      <c r="M887" s="3">
        <v>4.61</v>
      </c>
    </row>
    <row r="888" spans="1:13">
      <c r="A888" s="8" t="s">
        <v>899</v>
      </c>
      <c r="B888" s="2">
        <f>HYPERLINK("https://www.suredividend.com/sure-analysis-research-database/","Inogen Inc")</f>
        <v>0</v>
      </c>
      <c r="C888" s="1" t="s">
        <v>1965</v>
      </c>
      <c r="D888" s="3">
        <v>6.365</v>
      </c>
      <c r="F888" s="4">
        <v>0</v>
      </c>
      <c r="G888" s="3">
        <v>0</v>
      </c>
      <c r="H888" s="5">
        <v>172.664346</v>
      </c>
      <c r="J888" s="4">
        <v>0</v>
      </c>
      <c r="K888" s="7">
        <v>1.288</v>
      </c>
      <c r="L888" s="3">
        <v>12.91</v>
      </c>
      <c r="M888" s="3">
        <v>5.7</v>
      </c>
    </row>
    <row r="889" spans="1:13">
      <c r="A889" s="8" t="s">
        <v>900</v>
      </c>
      <c r="B889" s="2">
        <f>HYPERLINK("https://www.suredividend.com/sure-analysis-research-database/","Indus Holding AG")</f>
        <v>0</v>
      </c>
      <c r="C889" s="1" t="s">
        <v>1959</v>
      </c>
      <c r="D889" s="3">
        <v>30.7</v>
      </c>
      <c r="G889" s="3">
        <v>0</v>
      </c>
    </row>
    <row r="890" spans="1:13">
      <c r="A890" s="8" t="s">
        <v>901</v>
      </c>
      <c r="B890" s="2">
        <f>HYPERLINK("https://www.suredividend.com/sure-analysis-research-database/","Inmune Bio, Inc.")</f>
        <v>0</v>
      </c>
      <c r="C890" s="1" t="s">
        <v>1965</v>
      </c>
      <c r="D890" s="3">
        <v>1.62</v>
      </c>
      <c r="F890" s="4">
        <v>0</v>
      </c>
      <c r="G890" s="3">
        <v>0</v>
      </c>
      <c r="H890" s="5">
        <v>43.599823</v>
      </c>
      <c r="J890" s="4">
        <v>0</v>
      </c>
      <c r="K890" s="7">
        <v>1.2431</v>
      </c>
      <c r="L890" s="3">
        <v>11.64</v>
      </c>
      <c r="M890" s="3">
        <v>1.38</v>
      </c>
    </row>
    <row r="891" spans="1:13">
      <c r="A891" s="8" t="s">
        <v>902</v>
      </c>
      <c r="B891" s="2">
        <f>HYPERLINK("https://www.suredividend.com/sure-analysis-research-database/","InMode Ltd.")</f>
        <v>0</v>
      </c>
      <c r="C891" s="1" t="s">
        <v>1965</v>
      </c>
      <c r="D891" s="3">
        <v>14.22</v>
      </c>
      <c r="F891" s="4">
        <v>0</v>
      </c>
      <c r="G891" s="3">
        <v>0</v>
      </c>
      <c r="H891" s="5">
        <v>982.16842</v>
      </c>
      <c r="J891" s="4">
        <v>0</v>
      </c>
      <c r="K891" s="7">
        <v>1.3786</v>
      </c>
      <c r="L891" s="3">
        <v>19.78</v>
      </c>
      <c r="M891" s="3">
        <v>13.14</v>
      </c>
    </row>
    <row r="892" spans="1:13">
      <c r="A892" s="8" t="s">
        <v>903</v>
      </c>
      <c r="B892" s="2">
        <f>HYPERLINK("https://www.suredividend.com/sure-analysis-research-database/","Summit Hotel Properties, Inc.")</f>
        <v>0</v>
      </c>
      <c r="C892" s="1" t="s">
        <v>1961</v>
      </c>
      <c r="D892" s="3">
        <v>4.845</v>
      </c>
      <c r="E892" s="4">
        <v>0.07000000000000001</v>
      </c>
      <c r="F892" s="4">
        <v>0.03794</v>
      </c>
      <c r="G892" s="3">
        <v>0.32</v>
      </c>
      <c r="H892" s="5">
        <v>526.606641</v>
      </c>
      <c r="K892" s="7">
        <v>1.3138</v>
      </c>
      <c r="L892" s="3">
        <v>6.56</v>
      </c>
      <c r="M892" s="3">
        <v>3.41</v>
      </c>
    </row>
    <row r="893" spans="1:13">
      <c r="A893" s="8" t="s">
        <v>904</v>
      </c>
      <c r="B893" s="2">
        <f>HYPERLINK("https://www.suredividend.com/sure-analysis-research-database/","InnovAge Holding Corp.")</f>
        <v>0</v>
      </c>
      <c r="C893" s="1" t="s">
        <v>1959</v>
      </c>
      <c r="D893" s="3">
        <v>5.95</v>
      </c>
      <c r="F893" s="4">
        <v>0</v>
      </c>
      <c r="G893" s="3">
        <v>0</v>
      </c>
      <c r="H893" s="5">
        <v>807.304514</v>
      </c>
      <c r="J893" s="4">
        <v>0</v>
      </c>
      <c r="K893" s="7">
        <v>1.1788</v>
      </c>
      <c r="L893" s="3">
        <v>6.26</v>
      </c>
      <c r="M893" s="3">
        <v>2.6</v>
      </c>
    </row>
    <row r="894" spans="1:13">
      <c r="A894" s="8" t="s">
        <v>905</v>
      </c>
      <c r="B894" s="2">
        <f>HYPERLINK("https://www.suredividend.com/sure-analysis-research-database/","INOVIO PHARMACEUTICALS, INC.")</f>
        <v>0</v>
      </c>
      <c r="C894" s="1" t="s">
        <v>1965</v>
      </c>
      <c r="D894" s="3">
        <v>1.55</v>
      </c>
      <c r="F894" s="4">
        <v>0</v>
      </c>
      <c r="G894" s="3">
        <v>0</v>
      </c>
      <c r="H894" s="5">
        <v>80.89322900000001</v>
      </c>
      <c r="J894" s="4">
        <v>0</v>
      </c>
      <c r="K894" s="7">
        <v>1.7396</v>
      </c>
      <c r="L894" s="3">
        <v>2.98</v>
      </c>
      <c r="M894" s="3">
        <v>1.3</v>
      </c>
    </row>
    <row r="895" spans="1:13">
      <c r="A895" s="8" t="s">
        <v>906</v>
      </c>
      <c r="B895" s="2">
        <f>HYPERLINK("https://www.suredividend.com/sure-analysis-research-database/","INNODATA INC")</f>
        <v>0</v>
      </c>
      <c r="C895" s="1" t="s">
        <v>1960</v>
      </c>
      <c r="D895" s="3">
        <v>60.5</v>
      </c>
      <c r="F895" s="4">
        <v>0</v>
      </c>
      <c r="G895" s="3">
        <v>0</v>
      </c>
      <c r="H895" s="5">
        <v>1882.663595</v>
      </c>
      <c r="I895" s="6">
        <v>55.9584</v>
      </c>
      <c r="J895" s="4">
        <v>0</v>
      </c>
      <c r="K895" s="7">
        <v>3.094</v>
      </c>
      <c r="L895" s="3">
        <v>93.84999999999999</v>
      </c>
      <c r="M895" s="3">
        <v>26.41</v>
      </c>
    </row>
    <row r="896" spans="1:13">
      <c r="A896" s="8" t="s">
        <v>907</v>
      </c>
      <c r="B896" s="2">
        <f>HYPERLINK("https://www.suredividend.com/sure-analysis-research-database/","Infinity Natural Resources Inc.")</f>
        <v>0</v>
      </c>
      <c r="C896" s="1" t="s">
        <v>1959</v>
      </c>
      <c r="D896" s="3">
        <v>14.75</v>
      </c>
      <c r="F896" s="4">
        <v>0</v>
      </c>
      <c r="G896" s="3">
        <v>0</v>
      </c>
      <c r="H896" s="5">
        <v>234.147255</v>
      </c>
      <c r="K896" s="7">
        <v>1.3037</v>
      </c>
      <c r="L896" s="3">
        <v>23</v>
      </c>
      <c r="M896" s="3">
        <v>11.13</v>
      </c>
    </row>
    <row r="897" spans="1:13">
      <c r="A897" s="8" t="s">
        <v>908</v>
      </c>
      <c r="B897" s="2">
        <f>HYPERLINK("https://www.suredividend.com/sure-analysis-research-database/","Inspired Entertainment, Inc.")</f>
        <v>0</v>
      </c>
      <c r="C897" s="1" t="s">
        <v>1968</v>
      </c>
      <c r="D897" s="3">
        <v>9.25</v>
      </c>
      <c r="F897" s="4">
        <v>0</v>
      </c>
      <c r="G897" s="3">
        <v>0</v>
      </c>
      <c r="H897" s="5">
        <v>248.534992</v>
      </c>
      <c r="I897" s="6">
        <v>4.345</v>
      </c>
      <c r="J897" s="4">
        <v>0</v>
      </c>
      <c r="K897" s="7">
        <v>1.2543</v>
      </c>
      <c r="L897" s="3">
        <v>11.61</v>
      </c>
      <c r="M897" s="3">
        <v>6.51</v>
      </c>
    </row>
    <row r="898" spans="1:13">
      <c r="A898" s="8" t="s">
        <v>909</v>
      </c>
      <c r="B898" s="2">
        <f>HYPERLINK("https://www.suredividend.com/sure-analysis-research-database/","INSMED Inc")</f>
        <v>0</v>
      </c>
      <c r="C898" s="1" t="s">
        <v>1965</v>
      </c>
      <c r="D898" s="3">
        <v>156.5</v>
      </c>
      <c r="F898" s="4">
        <v>0</v>
      </c>
      <c r="G898" s="3">
        <v>0</v>
      </c>
      <c r="H898" s="5">
        <v>33338.908674</v>
      </c>
      <c r="J898" s="4">
        <v>0</v>
      </c>
      <c r="K898" s="7">
        <v>0.9752</v>
      </c>
      <c r="L898" s="3">
        <v>212.75</v>
      </c>
      <c r="M898" s="3">
        <v>60.4</v>
      </c>
    </row>
    <row r="899" spans="1:13">
      <c r="A899" s="8" t="s">
        <v>910</v>
      </c>
      <c r="B899" s="2">
        <f>HYPERLINK("https://www.suredividend.com/sure-analysis-research-database/","International Seaways, Inc.")</f>
        <v>0</v>
      </c>
      <c r="C899" s="1" t="s">
        <v>1964</v>
      </c>
      <c r="D899" s="3">
        <v>58.07</v>
      </c>
      <c r="E899" s="4">
        <v>0.05</v>
      </c>
      <c r="F899" s="4">
        <v>0.04007</v>
      </c>
      <c r="G899" s="3">
        <v>2.93</v>
      </c>
      <c r="H899" s="5">
        <v>2868.340415</v>
      </c>
      <c r="I899" s="6">
        <v>13.1829</v>
      </c>
      <c r="J899" s="4">
        <v>0.740684</v>
      </c>
      <c r="K899" s="7">
        <v>0.4649</v>
      </c>
      <c r="L899" s="3">
        <v>57.36</v>
      </c>
      <c r="M899" s="3">
        <v>25.9</v>
      </c>
    </row>
    <row r="900" spans="1:13">
      <c r="A900" s="8" t="s">
        <v>911</v>
      </c>
      <c r="B900" s="2">
        <f>HYPERLINK("https://www.suredividend.com/sure-analysis-research-database/","Intapp, Inc.")</f>
        <v>0</v>
      </c>
      <c r="C900" s="1" t="s">
        <v>1959</v>
      </c>
      <c r="D900" s="3">
        <v>37.4</v>
      </c>
      <c r="F900" s="4">
        <v>0</v>
      </c>
      <c r="G900" s="3">
        <v>0</v>
      </c>
      <c r="H900" s="5">
        <v>3082.074215</v>
      </c>
      <c r="J900" s="4">
        <v>0</v>
      </c>
      <c r="K900" s="7">
        <v>1.3867</v>
      </c>
      <c r="L900" s="3">
        <v>77.73999999999999</v>
      </c>
      <c r="M900" s="3">
        <v>35.51</v>
      </c>
    </row>
    <row r="901" spans="1:13">
      <c r="A901" s="8" t="s">
        <v>912</v>
      </c>
      <c r="B901" s="2">
        <f>HYPERLINK("https://www.suredividend.com/sure-analysis-research-database/","Innoviva, Inc.")</f>
        <v>0</v>
      </c>
      <c r="C901" s="1" t="s">
        <v>1965</v>
      </c>
      <c r="D901" s="3">
        <v>19.75</v>
      </c>
      <c r="F901" s="4">
        <v>0</v>
      </c>
      <c r="G901" s="3">
        <v>0</v>
      </c>
      <c r="H901" s="5">
        <v>1465.473615</v>
      </c>
      <c r="I901" s="6">
        <v>11.508</v>
      </c>
      <c r="J901" s="4">
        <v>0</v>
      </c>
      <c r="K901" s="7">
        <v>0.2827</v>
      </c>
      <c r="L901" s="3">
        <v>22.76</v>
      </c>
      <c r="M901" s="3">
        <v>16.52</v>
      </c>
    </row>
    <row r="902" spans="1:13">
      <c r="A902" s="8" t="s">
        <v>913</v>
      </c>
      <c r="B902" s="2">
        <f>HYPERLINK("https://www.suredividend.com/sure-analysis-research-database/","Innovex International, Inc.")</f>
        <v>0</v>
      </c>
      <c r="C902" s="1" t="s">
        <v>1959</v>
      </c>
      <c r="D902" s="3">
        <v>25.49</v>
      </c>
      <c r="F902" s="4">
        <v>0</v>
      </c>
      <c r="G902" s="3">
        <v>0</v>
      </c>
      <c r="H902" s="5">
        <v>1758.347948</v>
      </c>
      <c r="I902" s="6">
        <v>17.3891</v>
      </c>
      <c r="J902" s="4">
        <v>0</v>
      </c>
      <c r="K902" s="7">
        <v>1.095</v>
      </c>
      <c r="L902" s="3">
        <v>25.15</v>
      </c>
      <c r="M902" s="3">
        <v>11.93</v>
      </c>
    </row>
    <row r="903" spans="1:13">
      <c r="A903" s="8" t="s">
        <v>914</v>
      </c>
      <c r="B903" s="2">
        <f>HYPERLINK("https://www.suredividend.com/sure-analysis-research-database/","Inozyme Pharma, Inc.")</f>
        <v>0</v>
      </c>
      <c r="C903" s="1" t="s">
        <v>1959</v>
      </c>
      <c r="D903" s="3">
        <v>3.99</v>
      </c>
      <c r="F903" s="4">
        <v>0</v>
      </c>
      <c r="G903" s="3">
        <v>0</v>
      </c>
      <c r="H903" s="5">
        <v>258.247296</v>
      </c>
      <c r="J903" s="4">
        <v>0</v>
      </c>
      <c r="K903" s="7">
        <v>3.4209</v>
      </c>
    </row>
    <row r="904" spans="1:13">
      <c r="A904" s="8" t="s">
        <v>915</v>
      </c>
      <c r="B904" s="2">
        <f>HYPERLINK("https://www.suredividend.com/sure-analysis-research-database/","IonQ, Inc.")</f>
        <v>0</v>
      </c>
      <c r="C904" s="1" t="s">
        <v>1959</v>
      </c>
      <c r="D904" s="3">
        <v>49.13</v>
      </c>
      <c r="F904" s="4">
        <v>0</v>
      </c>
      <c r="G904" s="3">
        <v>0</v>
      </c>
      <c r="H904" s="5">
        <v>17122.332633</v>
      </c>
      <c r="J904" s="4">
        <v>0</v>
      </c>
      <c r="K904" s="7">
        <v>2.9858</v>
      </c>
      <c r="L904" s="3">
        <v>84.64</v>
      </c>
      <c r="M904" s="3">
        <v>17.88</v>
      </c>
    </row>
    <row r="905" spans="1:13">
      <c r="A905" s="8" t="s">
        <v>916</v>
      </c>
      <c r="B905" s="2">
        <f>HYPERLINK("https://www.suredividend.com/sure-analysis-IOSP/","INNOSPEC INC.")</f>
        <v>0</v>
      </c>
      <c r="C905" s="1" t="s">
        <v>1970</v>
      </c>
      <c r="D905" s="3">
        <v>81.03</v>
      </c>
      <c r="E905" s="4">
        <v>0.02147352832284339</v>
      </c>
      <c r="F905" s="4">
        <v>0.01812</v>
      </c>
      <c r="G905" s="3">
        <v>1.71</v>
      </c>
      <c r="H905" s="5">
        <v>2010.700779</v>
      </c>
      <c r="K905" s="7">
        <v>1.054</v>
      </c>
      <c r="L905" s="3">
        <v>114.58</v>
      </c>
      <c r="M905" s="3">
        <v>70.09999999999999</v>
      </c>
    </row>
    <row r="906" spans="1:13">
      <c r="A906" s="8" t="s">
        <v>917</v>
      </c>
      <c r="B906" s="2">
        <f>HYPERLINK("https://www.suredividend.com/sure-analysis-research-database/","IOVANCE BIOTHERAPEUTICS, INC.")</f>
        <v>0</v>
      </c>
      <c r="C906" s="1" t="s">
        <v>1965</v>
      </c>
      <c r="D906" s="3">
        <v>2.53</v>
      </c>
      <c r="F906" s="4">
        <v>0</v>
      </c>
      <c r="G906" s="3">
        <v>0</v>
      </c>
      <c r="H906" s="5">
        <v>996.389605</v>
      </c>
      <c r="J906" s="4">
        <v>0</v>
      </c>
      <c r="K906" s="7">
        <v>2.052</v>
      </c>
      <c r="L906" s="3">
        <v>6.5</v>
      </c>
      <c r="M906" s="3">
        <v>1.64</v>
      </c>
    </row>
    <row r="907" spans="1:13">
      <c r="A907" s="8" t="s">
        <v>918</v>
      </c>
      <c r="B907" s="2">
        <f>HYPERLINK("https://www.suredividend.com/sure-analysis-IPAR/","INTERPARFUMS INC")</f>
        <v>0</v>
      </c>
      <c r="C907" s="1" t="s">
        <v>1966</v>
      </c>
      <c r="D907" s="3">
        <v>95.25</v>
      </c>
      <c r="E907" s="4">
        <v>0.03359580052493438</v>
      </c>
      <c r="F907" s="4">
        <v>0.02735</v>
      </c>
      <c r="G907" s="3">
        <v>3.2</v>
      </c>
      <c r="H907" s="5">
        <v>2965.346045</v>
      </c>
      <c r="I907" s="6">
        <v>18.042</v>
      </c>
      <c r="K907" s="7">
        <v>0.87</v>
      </c>
      <c r="L907" s="3">
        <v>143.89</v>
      </c>
      <c r="M907" s="3">
        <v>76.48</v>
      </c>
    </row>
    <row r="908" spans="1:13">
      <c r="A908" s="8" t="s">
        <v>919</v>
      </c>
      <c r="B908" s="2">
        <f>HYPERLINK("https://www.suredividend.com/sure-analysis-research-database/","Intrepid Potash, Inc.")</f>
        <v>0</v>
      </c>
      <c r="C908" s="1" t="s">
        <v>1970</v>
      </c>
      <c r="D908" s="3">
        <v>33.98</v>
      </c>
      <c r="F908" s="4">
        <v>0</v>
      </c>
      <c r="G908" s="3">
        <v>7.5</v>
      </c>
      <c r="H908" s="5">
        <v>456.515688</v>
      </c>
      <c r="J908" s="4">
        <v>0</v>
      </c>
      <c r="K908" s="7">
        <v>1.0331</v>
      </c>
      <c r="L908" s="3">
        <v>39.01</v>
      </c>
      <c r="M908" s="3">
        <v>20.86</v>
      </c>
    </row>
    <row r="909" spans="1:13">
      <c r="A909" s="8" t="s">
        <v>920</v>
      </c>
      <c r="B909" s="2">
        <f>HYPERLINK("https://www.suredividend.com/sure-analysis-research-database/","Century Therapeutics, Inc.")</f>
        <v>0</v>
      </c>
      <c r="C909" s="1" t="s">
        <v>1959</v>
      </c>
      <c r="D909" s="3">
        <v>2.16</v>
      </c>
      <c r="F909" s="4">
        <v>0</v>
      </c>
      <c r="G909" s="3">
        <v>0</v>
      </c>
      <c r="H909" s="5">
        <v>178.106466</v>
      </c>
      <c r="J909" s="4">
        <v>0</v>
      </c>
      <c r="K909" s="7">
        <v>2.0141</v>
      </c>
      <c r="L909" s="3">
        <v>2.38</v>
      </c>
      <c r="M909" s="3">
        <v>0.34</v>
      </c>
    </row>
    <row r="910" spans="1:13">
      <c r="A910" s="8" t="s">
        <v>921</v>
      </c>
      <c r="B910" s="2">
        <f>HYPERLINK("https://www.suredividend.com/sure-analysis-research-database/","IROBOT CORP")</f>
        <v>0</v>
      </c>
      <c r="C910" s="1" t="s">
        <v>1960</v>
      </c>
      <c r="D910" s="3">
        <v>0.13</v>
      </c>
      <c r="F910" s="4">
        <v>0</v>
      </c>
      <c r="G910" s="3">
        <v>0</v>
      </c>
      <c r="H910" s="5">
        <v>4.137406</v>
      </c>
      <c r="J910" s="4">
        <v>0</v>
      </c>
      <c r="K910" s="7">
        <v>2.0793</v>
      </c>
      <c r="L910" s="3">
        <v>10.73</v>
      </c>
      <c r="M910" s="3">
        <v>0.09</v>
      </c>
    </row>
    <row r="911" spans="1:13">
      <c r="A911" s="8" t="s">
        <v>922</v>
      </c>
      <c r="B911" s="2">
        <f>HYPERLINK("https://www.suredividend.com/sure-analysis-research-database/","IRADIMED CORP")</f>
        <v>0</v>
      </c>
      <c r="C911" s="1" t="s">
        <v>1965</v>
      </c>
      <c r="D911" s="3">
        <v>103.19</v>
      </c>
      <c r="E911" s="4">
        <v>0.01</v>
      </c>
      <c r="F911" s="4">
        <v>0.008460000000000001</v>
      </c>
      <c r="G911" s="3">
        <v>1.18</v>
      </c>
      <c r="H911" s="5">
        <v>1313.077722</v>
      </c>
      <c r="I911" s="6">
        <v>61.982</v>
      </c>
      <c r="J911" s="4">
        <v>0.395899</v>
      </c>
      <c r="K911" s="7">
        <v>0.6489</v>
      </c>
      <c r="L911" s="3">
        <v>104.04</v>
      </c>
      <c r="M911" s="3">
        <v>46.88</v>
      </c>
    </row>
    <row r="912" spans="1:13">
      <c r="A912" s="8" t="s">
        <v>923</v>
      </c>
      <c r="B912" s="2">
        <f>HYPERLINK("https://www.suredividend.com/sure-analysis-research-database/","Disc Medicine, Inc.")</f>
        <v>0</v>
      </c>
      <c r="C912" s="1" t="s">
        <v>1959</v>
      </c>
      <c r="D912" s="3">
        <v>75.2</v>
      </c>
      <c r="F912" s="4">
        <v>0</v>
      </c>
      <c r="G912" s="3">
        <v>0</v>
      </c>
      <c r="H912" s="5">
        <v>2827.109632</v>
      </c>
      <c r="J912" s="4">
        <v>0</v>
      </c>
      <c r="K912" s="7">
        <v>1.5273</v>
      </c>
      <c r="L912" s="3">
        <v>99.5</v>
      </c>
      <c r="M912" s="3">
        <v>30.82</v>
      </c>
    </row>
    <row r="913" spans="1:13">
      <c r="A913" s="8" t="s">
        <v>924</v>
      </c>
      <c r="B913" s="2">
        <f>HYPERLINK("https://www.suredividend.com/sure-analysis-research-database/","INDEPENDENCE REALTY TRUST, INC.")</f>
        <v>0</v>
      </c>
      <c r="C913" s="1" t="s">
        <v>1961</v>
      </c>
      <c r="D913" s="3">
        <v>17.06</v>
      </c>
      <c r="E913" s="4">
        <v>0.04</v>
      </c>
      <c r="F913" s="4">
        <v>0.03385</v>
      </c>
      <c r="G913" s="3">
        <v>0.67</v>
      </c>
      <c r="H913" s="5">
        <v>4079.267473</v>
      </c>
      <c r="I913" s="6">
        <v>183.0253</v>
      </c>
      <c r="J913" s="4">
        <v>6.800398</v>
      </c>
      <c r="K913" s="7">
        <v>0.859</v>
      </c>
      <c r="L913" s="3">
        <v>21.07</v>
      </c>
      <c r="M913" s="3">
        <v>14.92</v>
      </c>
    </row>
    <row r="914" spans="1:13">
      <c r="A914" s="8" t="s">
        <v>925</v>
      </c>
      <c r="B914" s="2">
        <f>HYPERLINK("https://www.suredividend.com/sure-analysis-research-database/","iRhythm Technologies, Inc.")</f>
        <v>0</v>
      </c>
      <c r="C914" s="1" t="s">
        <v>1965</v>
      </c>
      <c r="D914" s="3">
        <v>163.2</v>
      </c>
      <c r="F914" s="4">
        <v>0</v>
      </c>
      <c r="G914" s="3">
        <v>0</v>
      </c>
      <c r="L914" s="3">
        <v>174.36</v>
      </c>
      <c r="M914" s="3">
        <v>149.85</v>
      </c>
    </row>
    <row r="915" spans="1:13">
      <c r="A915" s="8" t="s">
        <v>926</v>
      </c>
      <c r="B915" s="2">
        <f>HYPERLINK("https://www.suredividend.com/sure-analysis-research-database/","IRONWOOD PHARMACEUTICALS INC")</f>
        <v>0</v>
      </c>
      <c r="C915" s="1" t="s">
        <v>1965</v>
      </c>
      <c r="D915" s="3">
        <v>5.35</v>
      </c>
      <c r="F915" s="4">
        <v>0</v>
      </c>
      <c r="G915" s="3">
        <v>0</v>
      </c>
      <c r="H915" s="5">
        <v>863.823616</v>
      </c>
      <c r="I915" s="6">
        <v>30.2576</v>
      </c>
      <c r="J915" s="4">
        <v>0</v>
      </c>
      <c r="K915" s="7">
        <v>0.6979</v>
      </c>
      <c r="L915" s="3">
        <v>5.78</v>
      </c>
      <c r="M915" s="3">
        <v>0.53</v>
      </c>
    </row>
    <row r="916" spans="1:13">
      <c r="A916" s="8" t="s">
        <v>927</v>
      </c>
      <c r="B916" s="2">
        <f>HYPERLINK("https://www.suredividend.com/sure-analysis-research-database/","Ispire Technology Inc.")</f>
        <v>0</v>
      </c>
      <c r="C916" s="1" t="s">
        <v>1959</v>
      </c>
      <c r="D916" s="3">
        <v>3.33</v>
      </c>
      <c r="F916" s="4">
        <v>0</v>
      </c>
      <c r="G916" s="3">
        <v>0</v>
      </c>
      <c r="J916" s="4">
        <v>0</v>
      </c>
      <c r="K916" s="7">
        <v>0.8252</v>
      </c>
      <c r="L916" s="3">
        <v>4.99</v>
      </c>
      <c r="M916" s="3">
        <v>1.44</v>
      </c>
    </row>
    <row r="917" spans="1:13">
      <c r="A917" s="8" t="s">
        <v>928</v>
      </c>
      <c r="B917" s="2">
        <f>HYPERLINK("https://www.suredividend.com/sure-analysis-ISTR/","Investar Holding Corp")</f>
        <v>0</v>
      </c>
      <c r="C917" s="1" t="s">
        <v>1962</v>
      </c>
      <c r="D917" s="3">
        <v>27.93</v>
      </c>
      <c r="E917" s="4">
        <v>0.01575366988900824</v>
      </c>
      <c r="F917" s="4">
        <v>0.01434</v>
      </c>
      <c r="G917" s="3">
        <v>0.43</v>
      </c>
      <c r="H917" s="5">
        <v>274.103554</v>
      </c>
      <c r="I917" s="6">
        <v>12.1581</v>
      </c>
      <c r="J917" s="4">
        <v>0.181077</v>
      </c>
      <c r="K917" s="7">
        <v>0.79</v>
      </c>
      <c r="L917" s="3">
        <v>28.29</v>
      </c>
      <c r="M917" s="3">
        <v>15.17</v>
      </c>
    </row>
    <row r="918" spans="1:13">
      <c r="A918" s="8" t="s">
        <v>929</v>
      </c>
      <c r="B918" s="2">
        <f>HYPERLINK("https://www.suredividend.com/sure-analysis-research-database/","Integer Holdings Corp")</f>
        <v>0</v>
      </c>
      <c r="C918" s="1" t="s">
        <v>1965</v>
      </c>
      <c r="D918" s="3">
        <v>86.94</v>
      </c>
      <c r="F918" s="4">
        <v>0</v>
      </c>
      <c r="G918" s="3">
        <v>3.26</v>
      </c>
      <c r="H918" s="5">
        <v>3048.343062</v>
      </c>
      <c r="I918" s="6">
        <v>35.0775</v>
      </c>
      <c r="J918" s="4">
        <v>0</v>
      </c>
      <c r="K918" s="7">
        <v>0.636</v>
      </c>
      <c r="L918" s="3">
        <v>146.36</v>
      </c>
      <c r="M918" s="3">
        <v>62</v>
      </c>
    </row>
    <row r="919" spans="1:13">
      <c r="A919" s="8" t="s">
        <v>930</v>
      </c>
      <c r="B919" s="2">
        <f>HYPERLINK("https://www.suredividend.com/sure-analysis-research-database/","INVESTORS TITLE CO")</f>
        <v>0</v>
      </c>
      <c r="C919" s="1" t="s">
        <v>1962</v>
      </c>
      <c r="D919" s="3">
        <v>253</v>
      </c>
      <c r="E919" s="4">
        <v>0.04</v>
      </c>
      <c r="F919" s="4">
        <v>0.02555</v>
      </c>
      <c r="G919" s="3">
        <v>10.56</v>
      </c>
      <c r="H919" s="5">
        <v>480.57634</v>
      </c>
      <c r="I919" s="6">
        <v>13.3401</v>
      </c>
      <c r="J919" s="4">
        <v>0.8291190000000001</v>
      </c>
      <c r="K919" s="7">
        <v>0.7847</v>
      </c>
      <c r="L919" s="3">
        <v>279.48</v>
      </c>
      <c r="M919" s="3">
        <v>183.2</v>
      </c>
    </row>
    <row r="920" spans="1:13">
      <c r="A920" s="8" t="s">
        <v>931</v>
      </c>
      <c r="B920" s="2">
        <f>HYPERLINK("https://www.suredividend.com/sure-analysis-research-database/","iTeos Therapeutics, Inc.")</f>
        <v>0</v>
      </c>
      <c r="C920" s="1" t="s">
        <v>1959</v>
      </c>
      <c r="D920" s="3">
        <v>10.17</v>
      </c>
      <c r="F920" s="4">
        <v>0</v>
      </c>
      <c r="G920" s="3">
        <v>0</v>
      </c>
      <c r="H920" s="5">
        <v>448.68479</v>
      </c>
      <c r="J920" s="4">
        <v>0</v>
      </c>
      <c r="K920" s="7">
        <v>1.24</v>
      </c>
    </row>
    <row r="921" spans="1:13">
      <c r="A921" s="8" t="s">
        <v>932</v>
      </c>
      <c r="B921" s="2">
        <f>HYPERLINK("https://www.suredividend.com/sure-analysis-research-database/","ITRON, INC.")</f>
        <v>0</v>
      </c>
      <c r="C921" s="1" t="s">
        <v>1960</v>
      </c>
      <c r="D921" s="3">
        <v>99.09</v>
      </c>
      <c r="F921" s="4">
        <v>0</v>
      </c>
      <c r="G921" s="3">
        <v>0</v>
      </c>
      <c r="H921" s="5">
        <v>4533.877715</v>
      </c>
      <c r="I921" s="6">
        <v>17.605</v>
      </c>
      <c r="J921" s="4">
        <v>0</v>
      </c>
      <c r="K921" s="7">
        <v>1.1769</v>
      </c>
      <c r="L921" s="3">
        <v>142</v>
      </c>
      <c r="M921" s="3">
        <v>90.11</v>
      </c>
    </row>
    <row r="922" spans="1:13">
      <c r="A922" s="8" t="s">
        <v>933</v>
      </c>
      <c r="B922" s="2">
        <f>HYPERLINK("https://www.suredividend.com/sure-analysis-research-database/","Invesco Mortgage Capital Inc.")</f>
        <v>0</v>
      </c>
      <c r="C922" s="1" t="s">
        <v>1961</v>
      </c>
      <c r="D922" s="3">
        <v>9.07</v>
      </c>
      <c r="E922" s="4">
        <v>0.15</v>
      </c>
      <c r="F922" s="4">
        <v>0.2839</v>
      </c>
      <c r="G922" s="3">
        <v>1.38</v>
      </c>
      <c r="H922" s="5">
        <v>641.3479620000001</v>
      </c>
      <c r="I922" s="6">
        <v>18.6125</v>
      </c>
      <c r="J922" s="4">
        <v>2.050853</v>
      </c>
      <c r="K922" s="7">
        <v>1.1112</v>
      </c>
      <c r="L922" s="3">
        <v>9.5</v>
      </c>
      <c r="M922" s="3">
        <v>5.14</v>
      </c>
    </row>
    <row r="923" spans="1:13">
      <c r="A923" s="8" t="s">
        <v>934</v>
      </c>
      <c r="B923" s="2">
        <f>HYPERLINK("https://www.suredividend.com/sure-analysis-IVT/","InvenTrust Properties Corp.")</f>
        <v>0</v>
      </c>
      <c r="C923" s="1" t="s">
        <v>1959</v>
      </c>
      <c r="D923" s="3">
        <v>29.36</v>
      </c>
      <c r="E923" s="4">
        <v>0.03235694822888283</v>
      </c>
      <c r="F923" s="4">
        <v>0.02595</v>
      </c>
      <c r="G923" s="3">
        <v>0.95</v>
      </c>
      <c r="H923" s="5">
        <v>2278.128803</v>
      </c>
      <c r="I923" s="6">
        <v>129.8079</v>
      </c>
      <c r="J923" s="4">
        <v>3.743419</v>
      </c>
      <c r="K923" s="7">
        <v>0.569</v>
      </c>
      <c r="L923" s="3">
        <v>30.02</v>
      </c>
      <c r="M923" s="3">
        <v>24.58</v>
      </c>
    </row>
    <row r="924" spans="1:13">
      <c r="A924" s="8" t="s">
        <v>935</v>
      </c>
      <c r="B924" s="2">
        <f>HYPERLINK("https://www.suredividend.com/sure-analysis-research-database/","Invivyd, Inc.")</f>
        <v>0</v>
      </c>
      <c r="C924" s="1" t="s">
        <v>1959</v>
      </c>
      <c r="D924" s="3">
        <v>2.23</v>
      </c>
      <c r="F924" s="4">
        <v>0</v>
      </c>
      <c r="G924" s="3">
        <v>0</v>
      </c>
      <c r="H924" s="5">
        <v>515.201463</v>
      </c>
      <c r="J924" s="4">
        <v>0</v>
      </c>
      <c r="K924" s="7">
        <v>1.4567</v>
      </c>
      <c r="L924" s="3">
        <v>3.07</v>
      </c>
      <c r="M924" s="3">
        <v>0.35</v>
      </c>
    </row>
    <row r="925" spans="1:13">
      <c r="A925" s="8" t="s">
        <v>936</v>
      </c>
      <c r="B925" s="2">
        <f>HYPERLINK("https://www.suredividend.com/sure-analysis-research-database/","JACK IN THE BOX INC")</f>
        <v>0</v>
      </c>
      <c r="C925" s="1" t="s">
        <v>1963</v>
      </c>
      <c r="D925" s="3">
        <v>21.5</v>
      </c>
      <c r="E925" s="4">
        <v>0.08</v>
      </c>
      <c r="F925" s="4">
        <v>0.07259</v>
      </c>
      <c r="G925" s="3">
        <v>1.76</v>
      </c>
      <c r="H925" s="5">
        <v>400.045764</v>
      </c>
      <c r="K925" s="7">
        <v>1.0319</v>
      </c>
      <c r="L925" s="3">
        <v>43.53</v>
      </c>
      <c r="M925" s="3">
        <v>13.99</v>
      </c>
    </row>
    <row r="926" spans="1:13">
      <c r="A926" s="8" t="s">
        <v>937</v>
      </c>
      <c r="B926" s="2">
        <f>HYPERLINK("https://www.suredividend.com/sure-analysis-research-database/","JAKKS PACIFIC INC")</f>
        <v>0</v>
      </c>
      <c r="C926" s="1" t="s">
        <v>1963</v>
      </c>
      <c r="D926" s="3">
        <v>19.17</v>
      </c>
      <c r="E926" s="4">
        <v>0.05</v>
      </c>
      <c r="F926" s="4">
        <v>0.01094</v>
      </c>
      <c r="G926" s="3">
        <v>1</v>
      </c>
      <c r="H926" s="5">
        <v>216.036871</v>
      </c>
      <c r="I926" s="6">
        <v>35.5441</v>
      </c>
      <c r="J926" s="4">
        <v>0</v>
      </c>
      <c r="K926" s="7">
        <v>1.4622</v>
      </c>
      <c r="L926" s="3">
        <v>34.04</v>
      </c>
      <c r="M926" s="3">
        <v>14.64</v>
      </c>
    </row>
    <row r="927" spans="1:13">
      <c r="A927" s="8" t="s">
        <v>938</v>
      </c>
      <c r="B927" s="2">
        <f>HYPERLINK("https://www.suredividend.com/sure-analysis-research-database/","Jamf Holding Corp.")</f>
        <v>0</v>
      </c>
      <c r="D927" s="3">
        <v>13.01</v>
      </c>
      <c r="F927" s="4">
        <v>0</v>
      </c>
      <c r="G927" s="3">
        <v>0</v>
      </c>
      <c r="H927" s="5">
        <v>1731.891889</v>
      </c>
      <c r="J927" s="4">
        <v>0</v>
      </c>
      <c r="K927" s="7">
        <v>1.2288</v>
      </c>
      <c r="L927" s="3">
        <v>16.12</v>
      </c>
      <c r="M927" s="3">
        <v>7.09</v>
      </c>
    </row>
    <row r="928" spans="1:13">
      <c r="A928" s="8" t="s">
        <v>939</v>
      </c>
      <c r="B928" s="2">
        <f>HYPERLINK("https://www.suredividend.com/sure-analysis-research-database/","Janux Therapeutics, Inc.")</f>
        <v>0</v>
      </c>
      <c r="C928" s="1" t="s">
        <v>1959</v>
      </c>
      <c r="D928" s="3">
        <v>14.4</v>
      </c>
      <c r="F928" s="4">
        <v>0</v>
      </c>
      <c r="G928" s="3">
        <v>0</v>
      </c>
      <c r="H928" s="5">
        <v>798.161399</v>
      </c>
      <c r="J928" s="4">
        <v>0</v>
      </c>
      <c r="K928" s="7">
        <v>2.0648</v>
      </c>
      <c r="L928" s="3">
        <v>47.58</v>
      </c>
      <c r="M928" s="3">
        <v>12.8</v>
      </c>
    </row>
    <row r="929" spans="1:13">
      <c r="A929" s="8" t="s">
        <v>940</v>
      </c>
      <c r="B929" s="2">
        <f>HYPERLINK("https://www.suredividend.com/sure-analysis-research-database/","JBG SMITH Properties")</f>
        <v>0</v>
      </c>
      <c r="C929" s="1" t="s">
        <v>1961</v>
      </c>
      <c r="D929" s="3">
        <v>17.52</v>
      </c>
      <c r="E929" s="4">
        <v>0.04</v>
      </c>
      <c r="F929" s="4">
        <v>0.04787</v>
      </c>
      <c r="G929" s="3">
        <v>0.7</v>
      </c>
      <c r="H929" s="5">
        <v>1036.264528</v>
      </c>
      <c r="K929" s="7">
        <v>0.9529</v>
      </c>
      <c r="L929" s="3">
        <v>23.83</v>
      </c>
      <c r="M929" s="3">
        <v>12.76</v>
      </c>
    </row>
    <row r="930" spans="1:13">
      <c r="A930" s="8" t="s">
        <v>941</v>
      </c>
      <c r="B930" s="2">
        <f>HYPERLINK("https://www.suredividend.com/sure-analysis-research-database/","Janus International Group, Inc.")</f>
        <v>0</v>
      </c>
      <c r="C930" s="1" t="s">
        <v>1959</v>
      </c>
      <c r="D930" s="3">
        <v>7.105</v>
      </c>
      <c r="F930" s="4">
        <v>0</v>
      </c>
      <c r="G930" s="3">
        <v>0</v>
      </c>
      <c r="H930" s="5">
        <v>987.048537</v>
      </c>
      <c r="I930" s="6">
        <v>21.001</v>
      </c>
      <c r="J930" s="4">
        <v>0</v>
      </c>
      <c r="K930" s="7">
        <v>1.1161</v>
      </c>
      <c r="L930" s="3">
        <v>10.8</v>
      </c>
      <c r="M930" s="3">
        <v>5.73</v>
      </c>
    </row>
    <row r="931" spans="1:13">
      <c r="A931" s="8" t="s">
        <v>942</v>
      </c>
      <c r="B931" s="2">
        <f>HYPERLINK("https://www.suredividend.com/sure-analysis-research-database/","JETBLUE AIRWAYS CORP")</f>
        <v>0</v>
      </c>
      <c r="C931" s="1" t="s">
        <v>1964</v>
      </c>
      <c r="D931" s="3">
        <v>5.55</v>
      </c>
      <c r="F931" s="4">
        <v>0</v>
      </c>
      <c r="G931" s="3">
        <v>0</v>
      </c>
      <c r="H931" s="5">
        <v>2007.683174</v>
      </c>
      <c r="J931" s="4">
        <v>0</v>
      </c>
      <c r="K931" s="7">
        <v>1.0809</v>
      </c>
      <c r="L931" s="3">
        <v>8.31</v>
      </c>
      <c r="M931" s="3">
        <v>3.34</v>
      </c>
    </row>
    <row r="932" spans="1:13">
      <c r="A932" s="8" t="s">
        <v>943</v>
      </c>
      <c r="B932" s="2">
        <f>HYPERLINK("https://www.suredividend.com/sure-analysis-JBSS/","SANFILIPPO JOHN B &amp; SON INC")</f>
        <v>0</v>
      </c>
      <c r="C932" s="1" t="s">
        <v>1966</v>
      </c>
      <c r="D932" s="3">
        <v>75.45999999999999</v>
      </c>
      <c r="E932" s="4">
        <v>0.01192684866154254</v>
      </c>
      <c r="F932" s="4">
        <v>0.04377</v>
      </c>
      <c r="G932" s="3">
        <v>2.5</v>
      </c>
      <c r="H932" s="5">
        <v>878.093571</v>
      </c>
      <c r="I932" s="6">
        <v>13.0444</v>
      </c>
      <c r="J932" s="4">
        <v>0.41424</v>
      </c>
      <c r="K932" s="7">
        <v>0.2552</v>
      </c>
      <c r="L932" s="3">
        <v>86.93000000000001</v>
      </c>
      <c r="M932" s="3">
        <v>56.31</v>
      </c>
    </row>
    <row r="933" spans="1:13">
      <c r="A933" s="8" t="s">
        <v>944</v>
      </c>
      <c r="B933" s="2">
        <f>HYPERLINK("https://www.suredividend.com/sure-analysis-research-database/","JBT Marel Corp")</f>
        <v>0</v>
      </c>
      <c r="C933" s="1" t="s">
        <v>1959</v>
      </c>
      <c r="D933" s="3">
        <v>157.5</v>
      </c>
      <c r="F933" s="4">
        <v>0.00253</v>
      </c>
      <c r="G933" s="3">
        <v>0.4</v>
      </c>
      <c r="H933" s="5">
        <v>8218.233054</v>
      </c>
      <c r="K933" s="7">
        <v>0.9355</v>
      </c>
      <c r="L933" s="3">
        <v>160.84</v>
      </c>
      <c r="M933" s="3">
        <v>89.88</v>
      </c>
    </row>
    <row r="934" spans="1:13">
      <c r="A934" s="8" t="s">
        <v>945</v>
      </c>
      <c r="B934" s="2">
        <f>HYPERLINK("https://www.suredividend.com/sure-analysis-research-database/","JELD-WEN Holding, Inc.")</f>
        <v>0</v>
      </c>
      <c r="C934" s="1" t="s">
        <v>1964</v>
      </c>
      <c r="D934" s="3">
        <v>3.015</v>
      </c>
      <c r="F934" s="4">
        <v>0</v>
      </c>
      <c r="G934" s="3">
        <v>0</v>
      </c>
      <c r="H934" s="5">
        <v>257.997724</v>
      </c>
      <c r="J934" s="4">
        <v>0</v>
      </c>
      <c r="K934" s="7">
        <v>1.6891</v>
      </c>
      <c r="L934" s="3">
        <v>10.09</v>
      </c>
      <c r="M934" s="3">
        <v>1.7</v>
      </c>
    </row>
    <row r="935" spans="1:13">
      <c r="A935" s="8" t="s">
        <v>946</v>
      </c>
      <c r="B935" s="2">
        <f>HYPERLINK("https://www.suredividend.com/sure-analysis-research-database/","J.Jill, Inc.")</f>
        <v>0</v>
      </c>
      <c r="C935" s="1" t="s">
        <v>1963</v>
      </c>
      <c r="D935" s="3">
        <v>16.72</v>
      </c>
      <c r="E935" s="4">
        <v>0.02</v>
      </c>
      <c r="F935" s="4">
        <v>0.00734</v>
      </c>
      <c r="G935" s="3">
        <v>0.32</v>
      </c>
      <c r="H935" s="5">
        <v>253.333316</v>
      </c>
      <c r="I935" s="6">
        <v>8.339399999999999</v>
      </c>
      <c r="J935" s="4">
        <v>0.060406</v>
      </c>
      <c r="K935" s="7">
        <v>1.3028</v>
      </c>
      <c r="L935" s="3">
        <v>28.38</v>
      </c>
      <c r="M935" s="3">
        <v>13.15</v>
      </c>
    </row>
    <row r="936" spans="1:13">
      <c r="A936" s="8" t="s">
        <v>947</v>
      </c>
      <c r="B936" s="2">
        <f>HYPERLINK("https://www.suredividend.com/sure-analysis-JJSF/","J&amp;J SNACK FOODS CORP")</f>
        <v>0</v>
      </c>
      <c r="C936" s="1" t="s">
        <v>1966</v>
      </c>
      <c r="D936" s="3">
        <v>95.76000000000001</v>
      </c>
      <c r="E936" s="4">
        <v>0.03341687552213868</v>
      </c>
      <c r="F936" s="4">
        <v>0.0314</v>
      </c>
      <c r="G936" s="3">
        <v>3.16</v>
      </c>
      <c r="H936" s="5">
        <v>1853.074536</v>
      </c>
      <c r="I936" s="6">
        <v>28.2502</v>
      </c>
      <c r="J936" s="4">
        <v>0.926153</v>
      </c>
      <c r="K936" s="7">
        <v>0.1724</v>
      </c>
      <c r="L936" s="3">
        <v>141.86</v>
      </c>
      <c r="M936" s="3">
        <v>79.98999999999999</v>
      </c>
    </row>
    <row r="937" spans="1:13">
      <c r="A937" s="8" t="s">
        <v>948</v>
      </c>
      <c r="B937" s="2">
        <f>HYPERLINK("https://www.suredividend.com/sure-analysis-research-database/","John Marshall Bancorp, Inc.")</f>
        <v>0</v>
      </c>
      <c r="C937" s="1" t="s">
        <v>1962</v>
      </c>
      <c r="D937" s="3">
        <v>21.05</v>
      </c>
      <c r="E937" s="4">
        <v>0.01</v>
      </c>
      <c r="F937" s="4">
        <v>0.009889999999999999</v>
      </c>
      <c r="G937" s="3">
        <v>0.3</v>
      </c>
      <c r="H937" s="5">
        <v>297.850488</v>
      </c>
      <c r="I937" s="6">
        <v>14.8229</v>
      </c>
      <c r="J937" s="4">
        <v>0.212501</v>
      </c>
      <c r="K937" s="7">
        <v>0.843</v>
      </c>
      <c r="L937" s="3">
        <v>21.58</v>
      </c>
      <c r="M937" s="3">
        <v>13.59</v>
      </c>
    </row>
    <row r="938" spans="1:13">
      <c r="A938" s="8" t="s">
        <v>949</v>
      </c>
      <c r="B938" s="2">
        <f>HYPERLINK("https://www.suredividend.com/sure-analysis-research-database/","Joby Aviation, Inc.")</f>
        <v>0</v>
      </c>
      <c r="C938" s="1" t="s">
        <v>1959</v>
      </c>
      <c r="D938" s="3">
        <v>14.54</v>
      </c>
      <c r="F938" s="4">
        <v>0</v>
      </c>
      <c r="G938" s="3">
        <v>0</v>
      </c>
      <c r="H938" s="5">
        <v>13038.499374</v>
      </c>
      <c r="J938" s="4">
        <v>0</v>
      </c>
      <c r="K938" s="7">
        <v>2.4243</v>
      </c>
      <c r="L938" s="3">
        <v>20.95</v>
      </c>
      <c r="M938" s="3">
        <v>4.96</v>
      </c>
    </row>
    <row r="939" spans="1:13">
      <c r="A939" s="8" t="s">
        <v>950</v>
      </c>
      <c r="B939" s="2">
        <f>HYPERLINK("https://www.suredividend.com/sure-analysis-JOE/","ST JOE Co")</f>
        <v>0</v>
      </c>
      <c r="C939" s="1" t="s">
        <v>1961</v>
      </c>
      <c r="D939" s="3">
        <v>64.965</v>
      </c>
      <c r="E939" s="4">
        <v>0.009851458477641807</v>
      </c>
      <c r="F939" s="4">
        <v>0.00732</v>
      </c>
      <c r="G939" s="3">
        <v>0.58</v>
      </c>
      <c r="H939" s="5">
        <v>3753.39445</v>
      </c>
      <c r="I939" s="6">
        <v>35.8789</v>
      </c>
      <c r="J939" s="4">
        <v>0.33907</v>
      </c>
      <c r="K939" s="7">
        <v>1.01</v>
      </c>
      <c r="L939" s="3">
        <v>66.08</v>
      </c>
      <c r="M939" s="3">
        <v>39.84</v>
      </c>
    </row>
    <row r="940" spans="1:13">
      <c r="A940" s="8" t="s">
        <v>951</v>
      </c>
      <c r="B940" s="2">
        <f>HYPERLINK("https://www.suredividend.com/sure-analysis-research-database/","JOHNSON OUTDOORS INC")</f>
        <v>0</v>
      </c>
      <c r="C940" s="1" t="s">
        <v>1963</v>
      </c>
      <c r="D940" s="3">
        <v>46.82</v>
      </c>
      <c r="E940" s="4">
        <v>0.03</v>
      </c>
      <c r="F940" s="4">
        <v>0.0266</v>
      </c>
      <c r="G940" s="3">
        <v>1.32</v>
      </c>
      <c r="H940" s="5">
        <v>487.256712</v>
      </c>
      <c r="K940" s="7">
        <v>0.6497000000000001</v>
      </c>
      <c r="L940" s="3">
        <v>48.14</v>
      </c>
      <c r="M940" s="3">
        <v>20.79</v>
      </c>
    </row>
    <row r="941" spans="1:13">
      <c r="A941" s="8" t="s">
        <v>952</v>
      </c>
      <c r="B941" s="2">
        <f>HYPERLINK("https://www.suredividend.com/sure-analysis-research-database/","James River Group Holdings, Ltd.")</f>
        <v>0</v>
      </c>
      <c r="C941" s="1" t="s">
        <v>1962</v>
      </c>
      <c r="D941" s="3">
        <v>6.83</v>
      </c>
      <c r="E941" s="4">
        <v>0.01</v>
      </c>
      <c r="F941" s="4">
        <v>0.05854</v>
      </c>
      <c r="G941" s="3">
        <v>0.04</v>
      </c>
      <c r="H941" s="5">
        <v>313.94668</v>
      </c>
      <c r="K941" s="7">
        <v>0.8484</v>
      </c>
      <c r="L941" s="3">
        <v>6.89</v>
      </c>
      <c r="M941" s="3">
        <v>2.98</v>
      </c>
    </row>
    <row r="942" spans="1:13">
      <c r="A942" s="8" t="s">
        <v>953</v>
      </c>
      <c r="B942" s="2">
        <f>HYPERLINK("https://www.suredividend.com/sure-analysis-research-database/","Jasper Therapeutics, Inc.")</f>
        <v>0</v>
      </c>
      <c r="C942" s="1" t="s">
        <v>1959</v>
      </c>
      <c r="D942" s="3">
        <v>1.53</v>
      </c>
      <c r="F942" s="4">
        <v>0</v>
      </c>
      <c r="G942" s="3">
        <v>0</v>
      </c>
      <c r="H942" s="5">
        <v>25.286392</v>
      </c>
      <c r="J942" s="4">
        <v>0</v>
      </c>
      <c r="K942" s="7">
        <v>2.1602</v>
      </c>
      <c r="L942" s="3">
        <v>7.19</v>
      </c>
      <c r="M942" s="3">
        <v>1.39</v>
      </c>
    </row>
    <row r="943" spans="1:13">
      <c r="A943" s="8" t="s">
        <v>954</v>
      </c>
      <c r="B943" s="2">
        <f>HYPERLINK("https://www.suredividend.com/sure-analysis-JXN/","Jackson Financial Inc.")</f>
        <v>0</v>
      </c>
      <c r="C943" s="1" t="s">
        <v>1959</v>
      </c>
      <c r="D943" s="3">
        <v>114.26</v>
      </c>
      <c r="E943" s="4">
        <v>0.02800630141781901</v>
      </c>
      <c r="F943" s="4">
        <v>0.01944</v>
      </c>
      <c r="G943" s="3">
        <v>3.2</v>
      </c>
      <c r="H943" s="5">
        <v>7765.556734</v>
      </c>
      <c r="I943" s="6">
        <v>14.5969</v>
      </c>
      <c r="J943" s="4">
        <v>0.428571</v>
      </c>
      <c r="K943" s="7">
        <v>1.4055</v>
      </c>
      <c r="L943" s="3">
        <v>118.18</v>
      </c>
      <c r="M943" s="3">
        <v>63.05</v>
      </c>
    </row>
    <row r="944" spans="1:13">
      <c r="A944" s="8" t="s">
        <v>955</v>
      </c>
      <c r="B944" s="2">
        <f>HYPERLINK("https://www.suredividend.com/sure-analysis-research-database/","JOINT Corp")</f>
        <v>0</v>
      </c>
      <c r="C944" s="1" t="s">
        <v>1965</v>
      </c>
      <c r="D944" s="3">
        <v>10.09</v>
      </c>
      <c r="F944" s="4">
        <v>0</v>
      </c>
      <c r="G944" s="3">
        <v>0</v>
      </c>
      <c r="H944" s="5">
        <v>149.851215</v>
      </c>
      <c r="I944" s="6">
        <v>77.4892</v>
      </c>
      <c r="J944" s="4">
        <v>0</v>
      </c>
      <c r="K944" s="7">
        <v>0.9111</v>
      </c>
      <c r="L944" s="3">
        <v>13.47</v>
      </c>
      <c r="M944" s="3">
        <v>7.5</v>
      </c>
    </row>
    <row r="945" spans="1:13">
      <c r="A945" s="8" t="s">
        <v>956</v>
      </c>
      <c r="B945" s="2">
        <f>HYPERLINK("https://www.suredividend.com/sure-analysis-KAI/","KADANT INC")</f>
        <v>0</v>
      </c>
      <c r="C945" s="1" t="s">
        <v>1964</v>
      </c>
      <c r="D945" s="3">
        <v>328.3</v>
      </c>
      <c r="E945" s="4">
        <v>0.004142552543405422</v>
      </c>
      <c r="F945" s="4">
        <v>0.00376</v>
      </c>
      <c r="G945" s="3">
        <v>1.36</v>
      </c>
      <c r="H945" s="5">
        <v>3852.510177</v>
      </c>
      <c r="I945" s="6">
        <v>37.7786</v>
      </c>
      <c r="J945" s="4">
        <v>0.158324</v>
      </c>
      <c r="K945" s="7">
        <v>1.3319</v>
      </c>
      <c r="L945" s="3">
        <v>407.9</v>
      </c>
      <c r="M945" s="3">
        <v>244.59</v>
      </c>
    </row>
    <row r="946" spans="1:13">
      <c r="A946" s="8" t="s">
        <v>957</v>
      </c>
      <c r="B946" s="2">
        <f>HYPERLINK("https://www.suredividend.com/sure-analysis-research-database/","KAISER ALUMINUM CORP")</f>
        <v>0</v>
      </c>
      <c r="C946" s="1" t="s">
        <v>1970</v>
      </c>
      <c r="D946" s="3">
        <v>133.87</v>
      </c>
      <c r="E946" s="4">
        <v>0.02</v>
      </c>
      <c r="F946" s="4">
        <v>0.02485</v>
      </c>
      <c r="G946" s="3">
        <v>3.08</v>
      </c>
      <c r="H946" s="5">
        <v>2158.024916</v>
      </c>
      <c r="I946" s="6">
        <v>25.3289</v>
      </c>
      <c r="J946" s="4">
        <v>0.600939</v>
      </c>
      <c r="K946" s="7">
        <v>1.8917</v>
      </c>
      <c r="L946" s="3">
        <v>133.19</v>
      </c>
      <c r="M946" s="3">
        <v>45.44</v>
      </c>
    </row>
    <row r="947" spans="1:13">
      <c r="A947" s="8" t="s">
        <v>958</v>
      </c>
      <c r="B947" s="2">
        <f>HYPERLINK("https://www.suredividend.com/sure-analysis-research-database/","KalVista Pharmaceuticals, Inc.")</f>
        <v>0</v>
      </c>
      <c r="C947" s="1" t="s">
        <v>1965</v>
      </c>
      <c r="D947" s="3">
        <v>15.73</v>
      </c>
      <c r="F947" s="4">
        <v>0</v>
      </c>
      <c r="G947" s="3">
        <v>0</v>
      </c>
      <c r="H947" s="5">
        <v>804.191522</v>
      </c>
      <c r="J947" s="4">
        <v>0</v>
      </c>
      <c r="K947" s="7">
        <v>1.1197</v>
      </c>
      <c r="L947" s="3">
        <v>19</v>
      </c>
      <c r="M947" s="3">
        <v>8.25</v>
      </c>
    </row>
    <row r="948" spans="1:13">
      <c r="A948" s="8" t="s">
        <v>959</v>
      </c>
      <c r="B948" s="2">
        <f>HYPERLINK("https://www.suredividend.com/sure-analysis-research-database/","Openlane Inc.")</f>
        <v>0</v>
      </c>
      <c r="C948" s="1" t="s">
        <v>1963</v>
      </c>
      <c r="D948" s="3">
        <v>30.88</v>
      </c>
      <c r="F948" s="4">
        <v>0</v>
      </c>
      <c r="G948" s="3">
        <v>0.7</v>
      </c>
      <c r="H948" s="5">
        <v>3281.407215</v>
      </c>
      <c r="I948" s="6">
        <v>19.2458</v>
      </c>
      <c r="J948" s="4">
        <v>0.260411</v>
      </c>
      <c r="K948" s="7">
        <v>0.984</v>
      </c>
    </row>
    <row r="949" spans="1:13">
      <c r="A949" s="8" t="s">
        <v>960</v>
      </c>
      <c r="B949" s="2">
        <f>HYPERLINK("https://www.suredividend.com/sure-analysis-research-database/","KB HOME")</f>
        <v>0</v>
      </c>
      <c r="C949" s="1" t="s">
        <v>1963</v>
      </c>
      <c r="D949" s="3">
        <v>61.99</v>
      </c>
      <c r="E949" s="4">
        <v>0.02</v>
      </c>
      <c r="F949" s="4">
        <v>0.01394</v>
      </c>
      <c r="G949" s="3">
        <v>1</v>
      </c>
      <c r="H949" s="5">
        <v>3992.74283</v>
      </c>
      <c r="I949" s="6">
        <v>7.7099</v>
      </c>
      <c r="J949" s="4">
        <v>0.136757</v>
      </c>
      <c r="K949" s="7">
        <v>1.0084</v>
      </c>
      <c r="L949" s="3">
        <v>69.3</v>
      </c>
      <c r="M949" s="3">
        <v>48.27</v>
      </c>
    </row>
    <row r="950" spans="1:13">
      <c r="A950" s="8" t="s">
        <v>961</v>
      </c>
      <c r="B950" s="2">
        <f>HYPERLINK("https://www.suredividend.com/sure-analysis-research-database/","Kimball Electronics, Inc.")</f>
        <v>0</v>
      </c>
      <c r="C950" s="1" t="s">
        <v>1964</v>
      </c>
      <c r="D950" s="3">
        <v>31.12</v>
      </c>
      <c r="F950" s="4">
        <v>0</v>
      </c>
      <c r="G950" s="3">
        <v>0</v>
      </c>
      <c r="H950" s="5">
        <v>757.409857</v>
      </c>
      <c r="I950" s="6">
        <v>31.6696</v>
      </c>
      <c r="J950" s="4">
        <v>0</v>
      </c>
      <c r="K950" s="7">
        <v>1.2122</v>
      </c>
      <c r="L950" s="3">
        <v>33.19</v>
      </c>
      <c r="M950" s="3">
        <v>12.41</v>
      </c>
    </row>
    <row r="951" spans="1:13">
      <c r="A951" s="8" t="s">
        <v>962</v>
      </c>
      <c r="B951" s="2">
        <f>HYPERLINK("https://www.suredividend.com/sure-analysis-research-database/","KELLY SERVICES INC")</f>
        <v>0</v>
      </c>
      <c r="C951" s="1" t="s">
        <v>1964</v>
      </c>
      <c r="D951" s="3">
        <v>10.105</v>
      </c>
      <c r="E951" s="4">
        <v>0.03</v>
      </c>
      <c r="F951" s="4">
        <v>0.02898</v>
      </c>
      <c r="G951" s="3">
        <v>0.3</v>
      </c>
      <c r="H951" s="5">
        <v>357.630741</v>
      </c>
      <c r="K951" s="7">
        <v>0.8645</v>
      </c>
      <c r="L951" s="3">
        <v>14.81</v>
      </c>
      <c r="M951" s="3">
        <v>7.98</v>
      </c>
    </row>
    <row r="952" spans="1:13">
      <c r="A952" s="8" t="s">
        <v>963</v>
      </c>
      <c r="B952" s="2">
        <f>HYPERLINK("https://www.suredividend.com/sure-analysis-research-database/","KFORCE INC")</f>
        <v>0</v>
      </c>
      <c r="C952" s="1" t="s">
        <v>1964</v>
      </c>
      <c r="D952" s="3">
        <v>34.73</v>
      </c>
      <c r="E952" s="4">
        <v>0.04</v>
      </c>
      <c r="F952" s="4">
        <v>0.04154</v>
      </c>
      <c r="G952" s="3">
        <v>1.56</v>
      </c>
      <c r="H952" s="5">
        <v>630.39975</v>
      </c>
      <c r="I952" s="6">
        <v>15.4802</v>
      </c>
      <c r="J952" s="4">
        <v>0.680991</v>
      </c>
      <c r="K952" s="7">
        <v>0.7269</v>
      </c>
      <c r="L952" s="3">
        <v>54.94</v>
      </c>
      <c r="M952" s="3">
        <v>24.17</v>
      </c>
    </row>
    <row r="953" spans="1:13">
      <c r="A953" s="8" t="s">
        <v>964</v>
      </c>
      <c r="B953" s="2">
        <f>HYPERLINK("https://www.suredividend.com/sure-analysis-research-database/","KINGSWAY FINANCIAL SERVICES INC")</f>
        <v>0</v>
      </c>
      <c r="C953" s="1" t="s">
        <v>1963</v>
      </c>
      <c r="D953" s="3">
        <v>13.475</v>
      </c>
      <c r="F953" s="4">
        <v>0</v>
      </c>
      <c r="G953" s="3">
        <v>1.8</v>
      </c>
      <c r="H953" s="5">
        <v>390.908052</v>
      </c>
      <c r="K953" s="7">
        <v>0.6071</v>
      </c>
      <c r="L953" s="3">
        <v>16.8</v>
      </c>
      <c r="M953" s="3">
        <v>7.06</v>
      </c>
    </row>
    <row r="954" spans="1:13">
      <c r="A954" s="8" t="s">
        <v>965</v>
      </c>
      <c r="B954" s="2">
        <f>HYPERLINK("https://www.suredividend.com/sure-analysis-KFY/","KORN FERRY")</f>
        <v>0</v>
      </c>
      <c r="C954" s="1" t="s">
        <v>1964</v>
      </c>
      <c r="D954" s="3">
        <v>67.8</v>
      </c>
      <c r="E954" s="4">
        <v>0.02831858407079646</v>
      </c>
      <c r="F954" s="4">
        <v>0.01607</v>
      </c>
      <c r="G954" s="3">
        <v>1.92</v>
      </c>
      <c r="H954" s="5">
        <v>3538.817203</v>
      </c>
      <c r="I954" s="6">
        <v>13.5228</v>
      </c>
      <c r="J954" s="4">
        <v>0.37459</v>
      </c>
      <c r="K954" s="7">
        <v>0.9547</v>
      </c>
      <c r="L954" s="3">
        <v>77.42</v>
      </c>
      <c r="M954" s="3">
        <v>58.04</v>
      </c>
    </row>
    <row r="955" spans="1:13">
      <c r="A955" s="8" t="s">
        <v>966</v>
      </c>
      <c r="B955" s="2">
        <f>HYPERLINK("https://www.suredividend.com/sure-analysis-research-database/","Kodiak Gas Services, Inc.")</f>
        <v>0</v>
      </c>
      <c r="C955" s="1" t="s">
        <v>1959</v>
      </c>
      <c r="D955" s="3">
        <v>39.29</v>
      </c>
      <c r="E955" s="4">
        <v>0.05</v>
      </c>
      <c r="F955" s="4">
        <v>0.02094</v>
      </c>
      <c r="G955" s="3">
        <v>1.8</v>
      </c>
      <c r="H955" s="5">
        <v>3442.216081</v>
      </c>
      <c r="I955" s="6">
        <v>45.9091</v>
      </c>
      <c r="J955" s="4">
        <v>2.023305</v>
      </c>
      <c r="K955" s="7">
        <v>0.6301</v>
      </c>
      <c r="L955" s="3">
        <v>47.98</v>
      </c>
      <c r="M955" s="3">
        <v>28.09</v>
      </c>
    </row>
    <row r="956" spans="1:13">
      <c r="A956" s="8" t="s">
        <v>967</v>
      </c>
      <c r="B956" s="2">
        <f>HYPERLINK("https://www.suredividend.com/sure-analysis-research-database/","ORTHOPEDIATRICS CORP")</f>
        <v>0</v>
      </c>
      <c r="C956" s="1" t="s">
        <v>1965</v>
      </c>
      <c r="D956" s="3">
        <v>18.64</v>
      </c>
      <c r="F956" s="4">
        <v>0</v>
      </c>
      <c r="G956" s="3">
        <v>0</v>
      </c>
      <c r="H956" s="5">
        <v>467.441431</v>
      </c>
      <c r="J956" s="4">
        <v>0</v>
      </c>
      <c r="K956" s="7">
        <v>1.0448</v>
      </c>
      <c r="L956" s="3">
        <v>27.6</v>
      </c>
      <c r="M956" s="3">
        <v>15.28</v>
      </c>
    </row>
    <row r="957" spans="1:13">
      <c r="A957" s="8" t="s">
        <v>968</v>
      </c>
      <c r="B957" s="2">
        <f>HYPERLINK("https://www.suredividend.com/sure-analysis-research-database/","Nextdoor Holdings, Inc.")</f>
        <v>0</v>
      </c>
      <c r="C957" s="1" t="s">
        <v>1959</v>
      </c>
      <c r="D957" s="3">
        <v>1.94</v>
      </c>
      <c r="F957" s="4">
        <v>0</v>
      </c>
      <c r="G957" s="3">
        <v>0</v>
      </c>
      <c r="H957" s="5">
        <v>760.690618</v>
      </c>
      <c r="J957" s="4">
        <v>0</v>
      </c>
      <c r="K957" s="7">
        <v>1.5299</v>
      </c>
      <c r="L957" s="3">
        <v>3.72</v>
      </c>
      <c r="M957" s="3">
        <v>1.32</v>
      </c>
    </row>
    <row r="958" spans="1:13">
      <c r="A958" s="8" t="s">
        <v>969</v>
      </c>
      <c r="B958" s="2">
        <f>HYPERLINK("https://www.suredividend.com/sure-analysis-research-database/","KinderCare Learning Companies, Inc.")</f>
        <v>0</v>
      </c>
      <c r="C958" s="1" t="s">
        <v>1959</v>
      </c>
      <c r="D958" s="3">
        <v>4.335</v>
      </c>
      <c r="F958" s="4">
        <v>0</v>
      </c>
      <c r="G958" s="3">
        <v>0</v>
      </c>
      <c r="H958" s="5">
        <v>512.72829</v>
      </c>
      <c r="J958" s="4">
        <v>0</v>
      </c>
      <c r="K958" s="7">
        <v>0.9972</v>
      </c>
      <c r="L958" s="3">
        <v>21.24</v>
      </c>
      <c r="M958" s="3">
        <v>3.61</v>
      </c>
    </row>
    <row r="959" spans="1:13">
      <c r="A959" s="8" t="s">
        <v>970</v>
      </c>
      <c r="B959" s="2">
        <f>HYPERLINK("https://www.suredividend.com/sure-analysis-research-database/","WK Kellogg Co")</f>
        <v>0</v>
      </c>
      <c r="C959" s="1" t="s">
        <v>1959</v>
      </c>
      <c r="D959" s="3">
        <v>23</v>
      </c>
      <c r="E959" s="4">
        <v>0.03</v>
      </c>
      <c r="F959" s="4">
        <v>0.01126</v>
      </c>
      <c r="G959" s="3">
        <v>0.66</v>
      </c>
      <c r="H959" s="5">
        <v>1987.577062</v>
      </c>
      <c r="I959" s="6">
        <v>50.9635</v>
      </c>
      <c r="J959" s="4">
        <v>1.435897</v>
      </c>
      <c r="K959" s="7">
        <v>-0.1931</v>
      </c>
    </row>
    <row r="960" spans="1:13">
      <c r="A960" s="8" t="s">
        <v>971</v>
      </c>
      <c r="B960" s="2">
        <f>HYPERLINK("https://www.suredividend.com/sure-analysis-KLIC/","KULICKE &amp; SOFFA INDUSTRIES INC")</f>
        <v>0</v>
      </c>
      <c r="C960" s="1" t="s">
        <v>1960</v>
      </c>
      <c r="D960" s="3">
        <v>60</v>
      </c>
      <c r="E960" s="4">
        <v>0.01366666666666667</v>
      </c>
      <c r="F960" s="4">
        <v>0.01375</v>
      </c>
      <c r="G960" s="3">
        <v>0.82</v>
      </c>
      <c r="H960" s="5">
        <v>3113.50398</v>
      </c>
      <c r="I960" s="6">
        <v>14617.3896</v>
      </c>
      <c r="J960" s="4">
        <v>253.826291</v>
      </c>
      <c r="K960" s="7">
        <v>1.4369</v>
      </c>
      <c r="L960" s="3">
        <v>59.79</v>
      </c>
      <c r="M960" s="3">
        <v>26.22</v>
      </c>
    </row>
    <row r="961" spans="1:13">
      <c r="A961" s="8" t="s">
        <v>972</v>
      </c>
      <c r="B961" s="2">
        <f>HYPERLINK("https://www.suredividend.com/sure-analysis-research-database/","KALTURA INC")</f>
        <v>0</v>
      </c>
      <c r="C961" s="1" t="s">
        <v>1959</v>
      </c>
      <c r="D961" s="3">
        <v>1.49</v>
      </c>
      <c r="F961" s="4">
        <v>0</v>
      </c>
      <c r="G961" s="3">
        <v>0</v>
      </c>
      <c r="H961" s="5">
        <v>234.501236</v>
      </c>
      <c r="J961" s="4">
        <v>0</v>
      </c>
      <c r="K961" s="7">
        <v>1.7548</v>
      </c>
      <c r="L961" s="3">
        <v>2.82</v>
      </c>
      <c r="M961" s="3">
        <v>1.36</v>
      </c>
    </row>
    <row r="962" spans="1:13">
      <c r="A962" s="8" t="s">
        <v>973</v>
      </c>
      <c r="B962" s="2">
        <f>HYPERLINK("https://www.suredividend.com/sure-analysis-research-database/","KENNAMETAL INC")</f>
        <v>0</v>
      </c>
      <c r="C962" s="1" t="s">
        <v>1964</v>
      </c>
      <c r="D962" s="3">
        <v>34.335</v>
      </c>
      <c r="E962" s="4">
        <v>0.02</v>
      </c>
      <c r="F962" s="4">
        <v>0.02743</v>
      </c>
      <c r="G962" s="3">
        <v>0.8</v>
      </c>
      <c r="H962" s="5">
        <v>2613.03829</v>
      </c>
      <c r="I962" s="6">
        <v>27.7098</v>
      </c>
      <c r="J962" s="4">
        <v>0.691118</v>
      </c>
      <c r="K962" s="7">
        <v>0.9423</v>
      </c>
      <c r="L962" s="3">
        <v>34.84</v>
      </c>
      <c r="M962" s="3">
        <v>16.84</v>
      </c>
    </row>
    <row r="963" spans="1:13">
      <c r="A963" s="8" t="s">
        <v>974</v>
      </c>
      <c r="B963" s="2">
        <f>HYPERLINK("https://www.suredividend.com/sure-analysis-research-database/","Knowles Corp")</f>
        <v>0</v>
      </c>
      <c r="C963" s="1" t="s">
        <v>1960</v>
      </c>
      <c r="D963" s="3">
        <v>24.89</v>
      </c>
      <c r="F963" s="4">
        <v>0</v>
      </c>
      <c r="G963" s="3">
        <v>0</v>
      </c>
      <c r="H963" s="5">
        <v>2119.430393</v>
      </c>
      <c r="I963" s="6">
        <v>50.8257</v>
      </c>
      <c r="J963" s="4">
        <v>0</v>
      </c>
      <c r="K963" s="7">
        <v>1.6456</v>
      </c>
      <c r="L963" s="3">
        <v>25.24</v>
      </c>
      <c r="M963" s="3">
        <v>12.19</v>
      </c>
    </row>
    <row r="964" spans="1:13">
      <c r="A964" s="8" t="s">
        <v>975</v>
      </c>
      <c r="B964" s="2">
        <f>HYPERLINK("https://www.suredividend.com/sure-analysis-research-database/","Knife River Corp")</f>
        <v>0</v>
      </c>
      <c r="C964" s="1" t="s">
        <v>1959</v>
      </c>
      <c r="D964" s="3">
        <v>80.33</v>
      </c>
      <c r="F964" s="4">
        <v>0</v>
      </c>
      <c r="G964" s="3">
        <v>0</v>
      </c>
      <c r="H964" s="5">
        <v>4551.265733</v>
      </c>
      <c r="I964" s="6">
        <v>30.6859</v>
      </c>
      <c r="J964" s="4">
        <v>0</v>
      </c>
      <c r="K964" s="7">
        <v>1.2314</v>
      </c>
      <c r="L964" s="3">
        <v>108.83</v>
      </c>
      <c r="M964" s="3">
        <v>58.72</v>
      </c>
    </row>
    <row r="965" spans="1:13">
      <c r="A965" s="8" t="s">
        <v>976</v>
      </c>
      <c r="B965" s="2">
        <f>HYPERLINK("https://www.suredividend.com/sure-analysis-research-database/","Kiniksa Pharmaceuticals International, plc")</f>
        <v>0</v>
      </c>
      <c r="C965" s="1" t="s">
        <v>1965</v>
      </c>
      <c r="D965" s="3">
        <v>41</v>
      </c>
      <c r="F965" s="4">
        <v>0</v>
      </c>
      <c r="G965" s="3">
        <v>0</v>
      </c>
      <c r="H965" s="5">
        <v>6341.073198</v>
      </c>
      <c r="I965" s="6">
        <v>176.1654</v>
      </c>
      <c r="J965" s="4">
        <v>0</v>
      </c>
      <c r="K965" s="7">
        <v>0.5838</v>
      </c>
      <c r="L965" s="3">
        <v>44.42</v>
      </c>
      <c r="M965" s="3">
        <v>18.12</v>
      </c>
    </row>
    <row r="966" spans="1:13">
      <c r="A966" s="8" t="s">
        <v>977</v>
      </c>
      <c r="B966" s="2">
        <f>HYPERLINK("https://www.suredividend.com/sure-analysis-research-database/","Kinetik Holdings Inc.")</f>
        <v>0</v>
      </c>
      <c r="C966" s="1" t="s">
        <v>1959</v>
      </c>
      <c r="D966" s="3">
        <v>39.14</v>
      </c>
      <c r="E966" s="4">
        <v>0.08</v>
      </c>
      <c r="F966" s="4">
        <v>0.08094</v>
      </c>
      <c r="G966" s="3">
        <v>3.12</v>
      </c>
      <c r="H966" s="5">
        <v>6322.82285</v>
      </c>
      <c r="I966" s="6">
        <v>155.9304</v>
      </c>
      <c r="J966" s="4">
        <v>1.516935</v>
      </c>
      <c r="K966" s="7">
        <v>0.8496</v>
      </c>
      <c r="L966" s="3">
        <v>63.15</v>
      </c>
      <c r="M966" s="3">
        <v>31.33</v>
      </c>
    </row>
    <row r="967" spans="1:13">
      <c r="A967" s="8" t="s">
        <v>978</v>
      </c>
      <c r="B967" s="2">
        <f>HYPERLINK("https://www.suredividend.com/sure-analysis-research-database/","Kodiak Sciences Inc.")</f>
        <v>0</v>
      </c>
      <c r="C967" s="1" t="s">
        <v>1965</v>
      </c>
      <c r="D967" s="3">
        <v>27.28</v>
      </c>
      <c r="F967" s="4">
        <v>0</v>
      </c>
      <c r="G967" s="3">
        <v>0</v>
      </c>
      <c r="H967" s="5">
        <v>1416.923512</v>
      </c>
      <c r="J967" s="4">
        <v>0</v>
      </c>
      <c r="K967" s="7">
        <v>3.4209</v>
      </c>
      <c r="L967" s="3">
        <v>31.18</v>
      </c>
      <c r="M967" s="3">
        <v>1.92</v>
      </c>
    </row>
    <row r="968" spans="1:13">
      <c r="A968" s="8" t="s">
        <v>979</v>
      </c>
      <c r="B968" s="2">
        <f>HYPERLINK("https://www.suredividend.com/sure-analysis-research-database/","EASTMAN KODAK CO")</f>
        <v>0</v>
      </c>
      <c r="C968" s="1" t="s">
        <v>1964</v>
      </c>
      <c r="D968" s="3">
        <v>7.24</v>
      </c>
      <c r="F968" s="4">
        <v>0</v>
      </c>
      <c r="G968" s="3">
        <v>0.5</v>
      </c>
      <c r="H968" s="5">
        <v>697.936</v>
      </c>
      <c r="I968" s="6">
        <v>116.3227</v>
      </c>
      <c r="J968" s="4">
        <v>0.5</v>
      </c>
      <c r="K968" s="7">
        <v>1.7117</v>
      </c>
      <c r="L968" s="3">
        <v>9.960000000000001</v>
      </c>
      <c r="M968" s="3">
        <v>4.93</v>
      </c>
    </row>
    <row r="969" spans="1:13">
      <c r="A969" s="8" t="s">
        <v>980</v>
      </c>
      <c r="B969" s="2">
        <f>HYPERLINK("https://www.suredividend.com/sure-analysis-research-database/","Koppers Holdings Inc.")</f>
        <v>0</v>
      </c>
      <c r="C969" s="1" t="s">
        <v>1970</v>
      </c>
      <c r="D969" s="3">
        <v>29.51</v>
      </c>
      <c r="E969" s="4">
        <v>0.01</v>
      </c>
      <c r="F969" s="4">
        <v>0.00772</v>
      </c>
      <c r="G969" s="3">
        <v>0.32</v>
      </c>
      <c r="H969" s="5">
        <v>579.003096</v>
      </c>
      <c r="I969" s="6">
        <v>35.9629</v>
      </c>
      <c r="J969" s="4">
        <v>0.372671</v>
      </c>
      <c r="K969" s="7">
        <v>1.1709</v>
      </c>
      <c r="L969" s="3">
        <v>35.42</v>
      </c>
      <c r="M969" s="3">
        <v>22.81</v>
      </c>
    </row>
    <row r="970" spans="1:13">
      <c r="A970" s="8" t="s">
        <v>981</v>
      </c>
      <c r="B970" s="2">
        <f>HYPERLINK("https://www.suredividend.com/sure-analysis-research-database/","Kosmos Energy Ltd.")</f>
        <v>0</v>
      </c>
      <c r="C970" s="1" t="s">
        <v>1969</v>
      </c>
      <c r="D970" s="3">
        <v>1.27</v>
      </c>
      <c r="F970" s="4">
        <v>0</v>
      </c>
      <c r="G970" s="3">
        <v>0.18</v>
      </c>
      <c r="H970" s="5">
        <v>617.041771</v>
      </c>
      <c r="J970" s="4">
        <v>0</v>
      </c>
      <c r="K970" s="7">
        <v>1.1301</v>
      </c>
      <c r="L970" s="3">
        <v>3.65</v>
      </c>
      <c r="M970" s="3">
        <v>0.84</v>
      </c>
    </row>
    <row r="971" spans="1:13">
      <c r="A971" s="8" t="s">
        <v>982</v>
      </c>
      <c r="B971" s="2">
        <f>HYPERLINK("https://www.suredividend.com/sure-analysis-research-database/","KKR Real Estate Finance Trust Inc.")</f>
        <v>0</v>
      </c>
      <c r="C971" s="1" t="s">
        <v>1961</v>
      </c>
      <c r="D971" s="3">
        <v>8.210000000000001</v>
      </c>
      <c r="E971" s="4">
        <v>0.12</v>
      </c>
      <c r="F971" s="4">
        <v>0.18842</v>
      </c>
      <c r="G971" s="3">
        <v>1</v>
      </c>
      <c r="H971" s="5">
        <v>537.007176</v>
      </c>
      <c r="K971" s="7">
        <v>0.8215</v>
      </c>
      <c r="L971" s="3">
        <v>10.34</v>
      </c>
      <c r="M971" s="3">
        <v>7.55</v>
      </c>
    </row>
    <row r="972" spans="1:13">
      <c r="A972" s="8" t="s">
        <v>983</v>
      </c>
      <c r="B972" s="2">
        <f>HYPERLINK("https://www.suredividend.com/sure-analysis-KRG/","KITE REALTY GROUP TRUST")</f>
        <v>0</v>
      </c>
      <c r="C972" s="1" t="s">
        <v>1961</v>
      </c>
      <c r="D972" s="3">
        <v>23.56</v>
      </c>
      <c r="E972" s="4">
        <v>0.04584040747028863</v>
      </c>
      <c r="F972" s="4">
        <v>0.0377</v>
      </c>
      <c r="G972" s="3">
        <v>1.25</v>
      </c>
      <c r="H972" s="5">
        <v>5161.795611</v>
      </c>
      <c r="I972" s="6">
        <v>36.9584</v>
      </c>
      <c r="J972" s="4">
        <v>1.692514</v>
      </c>
      <c r="K972" s="7">
        <v>0.7799</v>
      </c>
      <c r="L972" s="3">
        <v>24.06</v>
      </c>
      <c r="M972" s="3">
        <v>17.75</v>
      </c>
    </row>
    <row r="973" spans="1:13">
      <c r="A973" s="8" t="s">
        <v>984</v>
      </c>
      <c r="B973" s="2">
        <f>HYPERLINK("https://www.suredividend.com/sure-analysis-research-database/","Kearny Financial Corp.")</f>
        <v>0</v>
      </c>
      <c r="C973" s="1" t="s">
        <v>1962</v>
      </c>
      <c r="D973" s="3">
        <v>8.255000000000001</v>
      </c>
      <c r="E973" s="4">
        <v>0.05</v>
      </c>
      <c r="F973" s="4">
        <v>0.0576</v>
      </c>
      <c r="G973" s="3">
        <v>0.44</v>
      </c>
      <c r="H973" s="5">
        <v>519.97526</v>
      </c>
      <c r="I973" s="6">
        <v>17.6329</v>
      </c>
      <c r="J973" s="4">
        <v>0.939944</v>
      </c>
      <c r="K973" s="7">
        <v>0.925</v>
      </c>
      <c r="L973" s="3">
        <v>8.300000000000001</v>
      </c>
      <c r="M973" s="3">
        <v>5.16</v>
      </c>
    </row>
    <row r="974" spans="1:13">
      <c r="A974" s="8" t="s">
        <v>985</v>
      </c>
      <c r="B974" s="2">
        <f>HYPERLINK("https://www.suredividend.com/sure-analysis-research-database/","KRONOS WORLDWIDE INC")</f>
        <v>0</v>
      </c>
      <c r="C974" s="1" t="s">
        <v>1970</v>
      </c>
      <c r="D974" s="3">
        <v>5.5</v>
      </c>
      <c r="E974" s="4">
        <v>0.05</v>
      </c>
      <c r="F974" s="4">
        <v>0.12091</v>
      </c>
      <c r="G974" s="3">
        <v>0.25</v>
      </c>
      <c r="H974" s="5">
        <v>631.641607</v>
      </c>
      <c r="K974" s="7">
        <v>1.6329</v>
      </c>
      <c r="L974" s="3">
        <v>9.779999999999999</v>
      </c>
      <c r="M974" s="3">
        <v>4.03</v>
      </c>
    </row>
    <row r="975" spans="1:13">
      <c r="A975" s="8" t="s">
        <v>986</v>
      </c>
      <c r="B975" s="2">
        <f>HYPERLINK("https://www.suredividend.com/sure-analysis-research-database/","Keros Therapeutics, Inc.")</f>
        <v>0</v>
      </c>
      <c r="C975" s="1" t="s">
        <v>1965</v>
      </c>
      <c r="D975" s="3">
        <v>19.01</v>
      </c>
      <c r="F975" s="4">
        <v>0</v>
      </c>
      <c r="G975" s="3">
        <v>0</v>
      </c>
      <c r="H975" s="5">
        <v>579.4646320000001</v>
      </c>
      <c r="I975" s="6">
        <v>8.991099999999999</v>
      </c>
      <c r="J975" s="4">
        <v>0</v>
      </c>
      <c r="K975" s="7">
        <v>0.9911</v>
      </c>
      <c r="L975" s="3">
        <v>22.55</v>
      </c>
      <c r="M975" s="3">
        <v>9.119999999999999</v>
      </c>
    </row>
    <row r="976" spans="1:13">
      <c r="A976" s="8" t="s">
        <v>987</v>
      </c>
      <c r="B976" s="2">
        <f>HYPERLINK("https://www.suredividend.com/sure-analysis-research-database/","Korro Bio, Inc.")</f>
        <v>0</v>
      </c>
      <c r="C976" s="1" t="s">
        <v>1959</v>
      </c>
      <c r="D976" s="3">
        <v>9.48</v>
      </c>
      <c r="F976" s="4">
        <v>0</v>
      </c>
      <c r="G976" s="3">
        <v>0</v>
      </c>
      <c r="H976" s="5">
        <v>89.18178399999999</v>
      </c>
      <c r="J976" s="4">
        <v>0</v>
      </c>
      <c r="K976" s="7">
        <v>25.5497</v>
      </c>
      <c r="L976" s="3">
        <v>55.89</v>
      </c>
      <c r="M976" s="3">
        <v>5.2</v>
      </c>
    </row>
    <row r="977" spans="1:13">
      <c r="A977" s="8" t="s">
        <v>988</v>
      </c>
      <c r="B977" s="2">
        <f>HYPERLINK("https://www.suredividend.com/sure-analysis-research-database/","Karat Packaging Inc.")</f>
        <v>0</v>
      </c>
      <c r="C977" s="1" t="s">
        <v>1959</v>
      </c>
      <c r="D977" s="3">
        <v>24.59</v>
      </c>
      <c r="E977" s="4">
        <v>0.07000000000000001</v>
      </c>
      <c r="F977" s="4">
        <v>0.03734</v>
      </c>
      <c r="G977" s="3">
        <v>1.8</v>
      </c>
      <c r="H977" s="5">
        <v>495.050808</v>
      </c>
      <c r="I977" s="6">
        <v>16.3475</v>
      </c>
      <c r="J977" s="4">
        <v>1.1204</v>
      </c>
      <c r="K977" s="7">
        <v>1.1747</v>
      </c>
      <c r="L977" s="3">
        <v>31.64</v>
      </c>
      <c r="M977" s="3">
        <v>20.48</v>
      </c>
    </row>
    <row r="978" spans="1:13">
      <c r="A978" s="8" t="s">
        <v>989</v>
      </c>
      <c r="B978" s="2">
        <f>HYPERLINK("https://www.suredividend.com/sure-analysis-research-database/","KURA SUSHI USA, INC.")</f>
        <v>0</v>
      </c>
      <c r="C978" s="1" t="s">
        <v>1963</v>
      </c>
      <c r="D978" s="3">
        <v>74.37</v>
      </c>
      <c r="F978" s="4">
        <v>0</v>
      </c>
      <c r="G978" s="3">
        <v>0</v>
      </c>
      <c r="H978" s="5">
        <v>891.162478</v>
      </c>
      <c r="J978" s="4">
        <v>0</v>
      </c>
      <c r="K978" s="7">
        <v>1.5794</v>
      </c>
      <c r="L978" s="3">
        <v>95.98</v>
      </c>
      <c r="M978" s="3">
        <v>40.03</v>
      </c>
    </row>
    <row r="979" spans="1:13">
      <c r="A979" s="8" t="s">
        <v>990</v>
      </c>
      <c r="B979" s="2">
        <f>HYPERLINK("https://www.suredividend.com/sure-analysis-research-database/","Krystal Biotech, Inc.")</f>
        <v>0</v>
      </c>
      <c r="C979" s="1" t="s">
        <v>1965</v>
      </c>
      <c r="D979" s="3">
        <v>285.04</v>
      </c>
      <c r="F979" s="4">
        <v>0</v>
      </c>
      <c r="G979" s="3">
        <v>0</v>
      </c>
      <c r="H979" s="5">
        <v>8293.290434</v>
      </c>
      <c r="I979" s="6">
        <v>41.6937</v>
      </c>
      <c r="J979" s="4">
        <v>0</v>
      </c>
      <c r="K979" s="7">
        <v>0.7641</v>
      </c>
      <c r="L979" s="3">
        <v>295.98</v>
      </c>
      <c r="M979" s="3">
        <v>122.8</v>
      </c>
    </row>
    <row r="980" spans="1:13">
      <c r="A980" s="8" t="s">
        <v>991</v>
      </c>
      <c r="B980" s="2">
        <f>HYPERLINK("https://www.suredividend.com/sure-analysis-KTB/","Kontoor Brands, Inc.")</f>
        <v>0</v>
      </c>
      <c r="C980" s="1" t="s">
        <v>1963</v>
      </c>
      <c r="D980" s="3">
        <v>60.1</v>
      </c>
      <c r="E980" s="4">
        <v>0.03527454242928452</v>
      </c>
      <c r="F980" s="4">
        <v>0.03091</v>
      </c>
      <c r="G980" s="3">
        <v>2.09</v>
      </c>
      <c r="H980" s="5">
        <v>3341.176081</v>
      </c>
      <c r="I980" s="6">
        <v>15.3495</v>
      </c>
      <c r="J980" s="4">
        <v>0.5300240000000001</v>
      </c>
      <c r="K980" s="7">
        <v>1.1245</v>
      </c>
      <c r="L980" s="3">
        <v>93.95999999999999</v>
      </c>
      <c r="M980" s="3">
        <v>48.95</v>
      </c>
    </row>
    <row r="981" spans="1:13">
      <c r="A981" s="8" t="s">
        <v>992</v>
      </c>
      <c r="B981" s="2">
        <f>HYPERLINK("https://www.suredividend.com/sure-analysis-research-database/","KRATOS DEFENSE &amp; SECURITY SOLUTIONS, INC.")</f>
        <v>0</v>
      </c>
      <c r="C981" s="1" t="s">
        <v>1964</v>
      </c>
      <c r="D981" s="3">
        <v>121.76</v>
      </c>
      <c r="F981" s="4">
        <v>0</v>
      </c>
      <c r="G981" s="3">
        <v>0</v>
      </c>
      <c r="H981" s="5">
        <v>20360.500978</v>
      </c>
      <c r="I981" s="6">
        <v>1018.025</v>
      </c>
      <c r="J981" s="4">
        <v>0</v>
      </c>
      <c r="K981" s="7">
        <v>1.2308</v>
      </c>
      <c r="L981" s="3">
        <v>134</v>
      </c>
      <c r="M981" s="3">
        <v>23.9</v>
      </c>
    </row>
    <row r="982" spans="1:13">
      <c r="A982" s="8" t="s">
        <v>993</v>
      </c>
      <c r="B982" s="2">
        <f>HYPERLINK("https://www.suredividend.com/sure-analysis-research-database/","Kura Oncology, Inc.")</f>
        <v>0</v>
      </c>
      <c r="C982" s="1" t="s">
        <v>1965</v>
      </c>
      <c r="D982" s="3">
        <v>8.720000000000001</v>
      </c>
      <c r="F982" s="4">
        <v>0</v>
      </c>
      <c r="G982" s="3">
        <v>0</v>
      </c>
      <c r="H982" s="5">
        <v>758.7927570000001</v>
      </c>
      <c r="J982" s="4">
        <v>0</v>
      </c>
      <c r="K982" s="7">
        <v>1.3685</v>
      </c>
      <c r="L982" s="3">
        <v>12.49</v>
      </c>
      <c r="M982" s="3">
        <v>5.41</v>
      </c>
    </row>
    <row r="983" spans="1:13">
      <c r="A983" s="8" t="s">
        <v>994</v>
      </c>
      <c r="B983" s="2">
        <f>HYPERLINK("https://www.suredividend.com/sure-analysis-research-database/","Kennedy-Wilson Holdings, Inc.")</f>
        <v>0</v>
      </c>
      <c r="C983" s="1" t="s">
        <v>1961</v>
      </c>
      <c r="D983" s="3">
        <v>10.005</v>
      </c>
      <c r="E983" s="4">
        <v>0.05</v>
      </c>
      <c r="F983" s="4">
        <v>0.07943</v>
      </c>
      <c r="G983" s="3">
        <v>0.48</v>
      </c>
      <c r="H983" s="5">
        <v>1380.422984</v>
      </c>
      <c r="J983" s="4">
        <v>12.621053</v>
      </c>
      <c r="K983" s="7">
        <v>0.6896</v>
      </c>
      <c r="L983" s="3">
        <v>10.05</v>
      </c>
      <c r="M983" s="3">
        <v>5.72</v>
      </c>
    </row>
    <row r="984" spans="1:13">
      <c r="A984" s="8" t="s">
        <v>995</v>
      </c>
      <c r="B984" s="2">
        <f>HYPERLINK("https://www.suredividend.com/sure-analysis-KWR/","QUAKER CHEMICAL CORP")</f>
        <v>0</v>
      </c>
      <c r="C984" s="1" t="s">
        <v>1970</v>
      </c>
      <c r="D984" s="3">
        <v>159.29</v>
      </c>
      <c r="E984" s="4">
        <v>0.01274405172954988</v>
      </c>
      <c r="F984" s="4">
        <v>0.01214</v>
      </c>
      <c r="G984" s="3">
        <v>1.99</v>
      </c>
      <c r="H984" s="5">
        <v>2760.360172</v>
      </c>
      <c r="K984" s="7">
        <v>1.2688</v>
      </c>
      <c r="L984" s="3">
        <v>161.59</v>
      </c>
      <c r="M984" s="3">
        <v>94.40000000000001</v>
      </c>
    </row>
    <row r="985" spans="1:13">
      <c r="A985" s="8" t="s">
        <v>996</v>
      </c>
      <c r="B985" s="2">
        <f>HYPERLINK("https://www.suredividend.com/sure-analysis-research-database/","Kymera Therapeutics, Inc.")</f>
        <v>0</v>
      </c>
      <c r="C985" s="1" t="s">
        <v>1959</v>
      </c>
      <c r="D985" s="3">
        <v>70.72</v>
      </c>
      <c r="F985" s="4">
        <v>0</v>
      </c>
      <c r="G985" s="3">
        <v>0</v>
      </c>
      <c r="H985" s="5">
        <v>5089.67417</v>
      </c>
      <c r="J985" s="4">
        <v>0</v>
      </c>
      <c r="K985" s="7">
        <v>2.2391</v>
      </c>
      <c r="L985" s="3">
        <v>103</v>
      </c>
      <c r="M985" s="3">
        <v>19.45</v>
      </c>
    </row>
    <row r="986" spans="1:13">
      <c r="A986" s="8" t="s">
        <v>997</v>
      </c>
      <c r="B986" s="2">
        <f>HYPERLINK("https://www.suredividend.com/sure-analysis-research-database/","Kyverna Therapeutics, Inc.")</f>
        <v>0</v>
      </c>
      <c r="C986" s="1" t="s">
        <v>1959</v>
      </c>
      <c r="D986" s="3">
        <v>9.48</v>
      </c>
      <c r="F986" s="4">
        <v>0</v>
      </c>
      <c r="G986" s="3">
        <v>0</v>
      </c>
      <c r="H986" s="5">
        <v>415.187692</v>
      </c>
      <c r="J986" s="4">
        <v>0</v>
      </c>
      <c r="K986" s="7">
        <v>1.4025</v>
      </c>
      <c r="L986" s="3">
        <v>13.67</v>
      </c>
      <c r="M986" s="3">
        <v>1.78</v>
      </c>
    </row>
    <row r="987" spans="1:13">
      <c r="A987" s="8" t="s">
        <v>998</v>
      </c>
      <c r="B987" s="2">
        <f>HYPERLINK("https://www.suredividend.com/sure-analysis-research-database/","STANDARD BIOTOOLS INC.")</f>
        <v>0</v>
      </c>
      <c r="C987" s="1" t="s">
        <v>1959</v>
      </c>
      <c r="D987" s="3">
        <v>1.64</v>
      </c>
      <c r="F987" s="4">
        <v>0</v>
      </c>
      <c r="G987" s="3">
        <v>0</v>
      </c>
      <c r="H987" s="5">
        <v>630.687279</v>
      </c>
      <c r="J987" s="4">
        <v>0</v>
      </c>
      <c r="K987" s="7">
        <v>1.4051</v>
      </c>
      <c r="L987" s="3">
        <v>1.89</v>
      </c>
      <c r="M987" s="3">
        <v>0.92</v>
      </c>
    </row>
    <row r="988" spans="1:13">
      <c r="A988" s="8" t="s">
        <v>999</v>
      </c>
      <c r="B988" s="2">
        <f>HYPERLINK("https://www.suredividend.com/sure-analysis-research-database/","Ladder Capital Corp")</f>
        <v>0</v>
      </c>
      <c r="C988" s="1" t="s">
        <v>1961</v>
      </c>
      <c r="D988" s="3">
        <v>11.24</v>
      </c>
      <c r="E988" s="4">
        <v>0.08</v>
      </c>
      <c r="F988" s="4">
        <v>0.08346000000000001</v>
      </c>
      <c r="G988" s="3">
        <v>0.92</v>
      </c>
      <c r="H988" s="5">
        <v>1427.272782</v>
      </c>
      <c r="I988" s="6">
        <v>17.9135</v>
      </c>
      <c r="J988" s="4">
        <v>1.488271</v>
      </c>
      <c r="K988" s="7">
        <v>0.6531</v>
      </c>
      <c r="L988" s="3">
        <v>11.44</v>
      </c>
      <c r="M988" s="3">
        <v>9.09</v>
      </c>
    </row>
    <row r="989" spans="1:13">
      <c r="A989" s="8" t="s">
        <v>1000</v>
      </c>
      <c r="B989" s="2">
        <f>HYPERLINK("https://www.suredividend.com/sure-analysis-research-database/","The Marzetti Company")</f>
        <v>0</v>
      </c>
      <c r="C989" s="1" t="s">
        <v>1966</v>
      </c>
      <c r="D989" s="3">
        <v>169.6</v>
      </c>
      <c r="E989" s="4">
        <v>0.02</v>
      </c>
      <c r="F989" s="4">
        <v>0.02085</v>
      </c>
      <c r="G989" s="3">
        <v>3.85</v>
      </c>
      <c r="H989" s="5">
        <v>4634.68932</v>
      </c>
      <c r="I989" s="6">
        <v>27.2905</v>
      </c>
      <c r="J989" s="4">
        <v>0.6180020000000001</v>
      </c>
      <c r="K989" s="7">
        <v>0.1757</v>
      </c>
      <c r="L989" s="3">
        <v>194.09</v>
      </c>
      <c r="M989" s="3">
        <v>152.02</v>
      </c>
    </row>
    <row r="990" spans="1:13">
      <c r="A990" s="8" t="s">
        <v>1001</v>
      </c>
      <c r="B990" s="2">
        <f>HYPERLINK("https://www.suredividend.com/sure-analysis-LAND/","GLADSTONE LAND Corp")</f>
        <v>0</v>
      </c>
      <c r="C990" s="1" t="s">
        <v>1961</v>
      </c>
      <c r="D990" s="3">
        <v>9.94</v>
      </c>
      <c r="E990" s="4">
        <v>0.05633802816901409</v>
      </c>
      <c r="F990" s="4">
        <v>0.05849</v>
      </c>
      <c r="G990" s="3">
        <v>0.5600000000000001</v>
      </c>
      <c r="H990" s="5">
        <v>367.450973</v>
      </c>
      <c r="J990" s="4">
        <v>4.49234</v>
      </c>
      <c r="K990" s="7">
        <v>0.6713</v>
      </c>
      <c r="L990" s="3">
        <v>11.36</v>
      </c>
      <c r="M990" s="3">
        <v>8.26</v>
      </c>
    </row>
    <row r="991" spans="1:13">
      <c r="A991" s="8" t="s">
        <v>1002</v>
      </c>
      <c r="B991" s="2">
        <f>HYPERLINK("https://www.suredividend.com/sure-analysis-research-database/","NLIGHT, INC.")</f>
        <v>0</v>
      </c>
      <c r="C991" s="1" t="s">
        <v>1960</v>
      </c>
      <c r="D991" s="3">
        <v>46.57</v>
      </c>
      <c r="F991" s="4">
        <v>0</v>
      </c>
      <c r="G991" s="3">
        <v>0</v>
      </c>
      <c r="H991" s="5">
        <v>2333.109162</v>
      </c>
      <c r="J991" s="4">
        <v>0</v>
      </c>
      <c r="K991" s="7">
        <v>1.6067</v>
      </c>
      <c r="L991" s="3">
        <v>47.5</v>
      </c>
      <c r="M991" s="3">
        <v>6.2</v>
      </c>
    </row>
    <row r="992" spans="1:13">
      <c r="A992" s="8" t="s">
        <v>1003</v>
      </c>
      <c r="B992" s="2">
        <f>HYPERLINK("https://www.suredividend.com/sure-analysis-research-database/","LAUREATE EDUCATION, INC.")</f>
        <v>0</v>
      </c>
      <c r="C992" s="1" t="s">
        <v>1966</v>
      </c>
      <c r="D992" s="3">
        <v>35.97</v>
      </c>
      <c r="F992" s="4">
        <v>0.01135</v>
      </c>
      <c r="G992" s="3">
        <v>0.7</v>
      </c>
      <c r="H992" s="5">
        <v>5300.868757</v>
      </c>
      <c r="I992" s="6">
        <v>26.0222</v>
      </c>
      <c r="J992" s="4">
        <v>0.002211</v>
      </c>
      <c r="K992" s="7">
        <v>0.5573</v>
      </c>
      <c r="L992" s="3">
        <v>35.87</v>
      </c>
      <c r="M992" s="3">
        <v>17.91</v>
      </c>
    </row>
    <row r="993" spans="1:13">
      <c r="A993" s="8" t="s">
        <v>1004</v>
      </c>
      <c r="B993" s="2">
        <f>HYPERLINK("https://www.suredividend.com/sure-analysis-research-database/","CS Disco, Inc.")</f>
        <v>0</v>
      </c>
      <c r="C993" s="1" t="s">
        <v>1959</v>
      </c>
      <c r="D993" s="3">
        <v>6.39</v>
      </c>
      <c r="F993" s="4">
        <v>0</v>
      </c>
      <c r="G993" s="3">
        <v>0</v>
      </c>
      <c r="H993" s="5">
        <v>399.946202</v>
      </c>
      <c r="K993" s="7">
        <v>1.2628</v>
      </c>
      <c r="L993" s="3">
        <v>9.109999999999999</v>
      </c>
      <c r="M993" s="3">
        <v>3.31</v>
      </c>
    </row>
    <row r="994" spans="1:13">
      <c r="A994" s="8" t="s">
        <v>1005</v>
      </c>
      <c r="B994" s="2">
        <f>HYPERLINK("https://www.suredividend.com/sure-analysis-research-database/","Luminar Technologies, Inc./DE")</f>
        <v>0</v>
      </c>
      <c r="C994" s="1" t="s">
        <v>1959</v>
      </c>
      <c r="D994" s="3">
        <v>0.175</v>
      </c>
      <c r="F994" s="4">
        <v>0</v>
      </c>
      <c r="G994" s="3">
        <v>0</v>
      </c>
      <c r="H994" s="5">
        <v>14.66865</v>
      </c>
      <c r="J994" s="4">
        <v>0</v>
      </c>
      <c r="K994" s="7">
        <v>2.4791</v>
      </c>
    </row>
    <row r="995" spans="1:13">
      <c r="A995" s="8" t="s">
        <v>1006</v>
      </c>
      <c r="B995" s="2">
        <f>HYPERLINK("https://www.suredividend.com/sure-analysis-research-database/","Liberty Energy Inc.")</f>
        <v>0</v>
      </c>
      <c r="C995" s="1" t="s">
        <v>1969</v>
      </c>
      <c r="D995" s="3">
        <v>21.22</v>
      </c>
      <c r="E995" s="4">
        <v>0.02</v>
      </c>
      <c r="F995" s="4">
        <v>0.00937</v>
      </c>
      <c r="G995" s="3">
        <v>0.33</v>
      </c>
      <c r="H995" s="5">
        <v>3436.938721</v>
      </c>
      <c r="I995" s="6">
        <v>18.4707</v>
      </c>
      <c r="J995" s="4">
        <v>0.284305</v>
      </c>
      <c r="K995" s="7">
        <v>1.1046</v>
      </c>
      <c r="L995" s="3">
        <v>22.39</v>
      </c>
      <c r="M995" s="3">
        <v>9.32</v>
      </c>
    </row>
    <row r="996" spans="1:13">
      <c r="A996" s="8" t="s">
        <v>1007</v>
      </c>
      <c r="B996" s="2">
        <f>HYPERLINK("https://www.suredividend.com/sure-analysis-research-database/","LendingClub Corp")</f>
        <v>0</v>
      </c>
      <c r="C996" s="1" t="s">
        <v>1962</v>
      </c>
      <c r="D996" s="3">
        <v>20.91</v>
      </c>
      <c r="F996" s="4">
        <v>0</v>
      </c>
      <c r="G996" s="3">
        <v>0</v>
      </c>
      <c r="H996" s="5">
        <v>2370.597606</v>
      </c>
      <c r="I996" s="6">
        <v>22.8287</v>
      </c>
      <c r="J996" s="4">
        <v>0</v>
      </c>
      <c r="K996" s="7">
        <v>1.6605</v>
      </c>
      <c r="L996" s="3">
        <v>21.19</v>
      </c>
      <c r="M996" s="3">
        <v>7.9</v>
      </c>
    </row>
    <row r="997" spans="1:13">
      <c r="A997" s="8" t="s">
        <v>1008</v>
      </c>
      <c r="B997" s="2">
        <f>HYPERLINK("https://www.suredividend.com/sure-analysis-LCII/","LCI INDUSTRIES")</f>
        <v>0</v>
      </c>
      <c r="C997" s="1" t="s">
        <v>1963</v>
      </c>
      <c r="D997" s="3">
        <v>150.92</v>
      </c>
      <c r="E997" s="4">
        <v>0.03054598462761729</v>
      </c>
      <c r="F997" s="4">
        <v>0.03258</v>
      </c>
      <c r="G997" s="3">
        <v>4.6</v>
      </c>
      <c r="H997" s="5">
        <v>3658.497132</v>
      </c>
      <c r="I997" s="6">
        <v>20.4256</v>
      </c>
      <c r="J997" s="4">
        <v>0.6448159999999999</v>
      </c>
      <c r="K997" s="7">
        <v>1.076</v>
      </c>
      <c r="L997" s="3">
        <v>151.85</v>
      </c>
      <c r="M997" s="3">
        <v>69.90000000000001</v>
      </c>
    </row>
    <row r="998" spans="1:13">
      <c r="A998" s="8" t="s">
        <v>1009</v>
      </c>
      <c r="B998" s="2">
        <f>HYPERLINK("https://www.suredividend.com/sure-analysis-LCNB/","LCNB CORP")</f>
        <v>0</v>
      </c>
      <c r="C998" s="1" t="s">
        <v>1962</v>
      </c>
      <c r="D998" s="3">
        <v>17.49</v>
      </c>
      <c r="E998" s="4">
        <v>0.05031446540880503</v>
      </c>
      <c r="F998" s="4">
        <v>0.0517</v>
      </c>
      <c r="G998" s="3">
        <v>0.88</v>
      </c>
      <c r="H998" s="5">
        <v>248.124421</v>
      </c>
      <c r="I998" s="6">
        <v>10.5209</v>
      </c>
      <c r="J998" s="4">
        <v>0.5302750000000001</v>
      </c>
      <c r="K998" s="7">
        <v>0.4584</v>
      </c>
      <c r="L998" s="3">
        <v>17.84</v>
      </c>
      <c r="M998" s="3">
        <v>12.77</v>
      </c>
    </row>
    <row r="999" spans="1:13">
      <c r="A999" s="8" t="s">
        <v>1010</v>
      </c>
      <c r="B999" s="2">
        <f>HYPERLINK("https://www.suredividend.com/sure-analysis-research-database/","Lineage Cell Therapeutics, Inc.")</f>
        <v>0</v>
      </c>
      <c r="C999" s="1" t="s">
        <v>1965</v>
      </c>
      <c r="D999" s="3">
        <v>1.665</v>
      </c>
      <c r="F999" s="4">
        <v>0</v>
      </c>
      <c r="G999" s="3">
        <v>0</v>
      </c>
      <c r="H999" s="5">
        <v>382.343711</v>
      </c>
      <c r="J999" s="4">
        <v>0</v>
      </c>
      <c r="K999" s="7">
        <v>0.8241000000000001</v>
      </c>
      <c r="L999" s="3">
        <v>2.09</v>
      </c>
      <c r="M999" s="3">
        <v>0.37</v>
      </c>
    </row>
    <row r="1000" spans="1:13">
      <c r="A1000" s="8" t="s">
        <v>1011</v>
      </c>
      <c r="B1000" s="2">
        <f>HYPERLINK("https://www.suredividend.com/sure-analysis-research-database/","LIFETIME BRANDS, INC")</f>
        <v>0</v>
      </c>
      <c r="C1000" s="1" t="s">
        <v>1963</v>
      </c>
      <c r="D1000" s="3">
        <v>3.98</v>
      </c>
      <c r="E1000" s="4">
        <v>0.04</v>
      </c>
      <c r="F1000" s="4">
        <v>0.04427</v>
      </c>
      <c r="G1000" s="3">
        <v>0.17</v>
      </c>
      <c r="H1000" s="5">
        <v>89.94428000000001</v>
      </c>
      <c r="K1000" s="7">
        <v>0.7611</v>
      </c>
      <c r="L1000" s="3">
        <v>6.59</v>
      </c>
      <c r="M1000" s="3">
        <v>2.83</v>
      </c>
    </row>
    <row r="1001" spans="1:13">
      <c r="A1001" s="8" t="s">
        <v>1012</v>
      </c>
      <c r="B1001" s="2">
        <f>HYPERLINK("https://www.suredividend.com/sure-analysis-research-database/","LANDS' END, INC.")</f>
        <v>0</v>
      </c>
      <c r="C1001" s="1" t="s">
        <v>1963</v>
      </c>
      <c r="D1001" s="3">
        <v>15.15</v>
      </c>
      <c r="F1001" s="4">
        <v>0</v>
      </c>
      <c r="G1001" s="3">
        <v>0</v>
      </c>
      <c r="H1001" s="5">
        <v>462.84868</v>
      </c>
      <c r="I1001" s="6">
        <v>39.378</v>
      </c>
      <c r="J1001" s="4">
        <v>0</v>
      </c>
      <c r="K1001" s="7">
        <v>1.3092</v>
      </c>
      <c r="L1001" s="3">
        <v>17.12</v>
      </c>
      <c r="M1001" s="3">
        <v>7.65</v>
      </c>
    </row>
    <row r="1002" spans="1:13">
      <c r="A1002" s="8" t="s">
        <v>1013</v>
      </c>
      <c r="B1002" s="2">
        <f>HYPERLINK("https://www.suredividend.com/sure-analysis-research-database/","Legacy Housing Corp")</f>
        <v>0</v>
      </c>
      <c r="C1002" s="1" t="s">
        <v>1963</v>
      </c>
      <c r="D1002" s="3">
        <v>22.43</v>
      </c>
      <c r="F1002" s="4">
        <v>0</v>
      </c>
      <c r="G1002" s="3">
        <v>0</v>
      </c>
      <c r="H1002" s="5">
        <v>533.9434230000001</v>
      </c>
      <c r="I1002" s="6">
        <v>11.0947</v>
      </c>
      <c r="J1002" s="4">
        <v>0</v>
      </c>
      <c r="K1002" s="7">
        <v>0.8779</v>
      </c>
      <c r="L1002" s="3">
        <v>29.45</v>
      </c>
      <c r="M1002" s="3">
        <v>18.84</v>
      </c>
    </row>
    <row r="1003" spans="1:13">
      <c r="A1003" s="8" t="s">
        <v>1014</v>
      </c>
      <c r="B1003" s="2">
        <f>HYPERLINK("https://www.suredividend.com/sure-analysis-research-database/","LENZ Therapeutics, Inc.")</f>
        <v>0</v>
      </c>
      <c r="C1003" s="1" t="s">
        <v>1959</v>
      </c>
      <c r="D1003" s="3">
        <v>19.97</v>
      </c>
      <c r="F1003" s="4">
        <v>0</v>
      </c>
      <c r="G1003" s="3">
        <v>0</v>
      </c>
      <c r="H1003" s="5">
        <v>609.528596</v>
      </c>
      <c r="J1003" s="4">
        <v>0</v>
      </c>
      <c r="K1003" s="7">
        <v>2.1265</v>
      </c>
      <c r="L1003" s="3">
        <v>50.4</v>
      </c>
      <c r="M1003" s="3">
        <v>14.43</v>
      </c>
    </row>
    <row r="1004" spans="1:13">
      <c r="A1004" s="8" t="s">
        <v>1015</v>
      </c>
      <c r="B1004" s="2">
        <f>HYPERLINK("https://www.suredividend.com/sure-analysis-research-database/","Leslie's, Inc.")</f>
        <v>0</v>
      </c>
      <c r="C1004" s="1" t="s">
        <v>1959</v>
      </c>
      <c r="D1004" s="3">
        <v>1.65</v>
      </c>
      <c r="F1004" s="4">
        <v>0</v>
      </c>
      <c r="G1004" s="3">
        <v>0</v>
      </c>
      <c r="H1004" s="5">
        <v>15.143207</v>
      </c>
      <c r="J1004" s="4">
        <v>0</v>
      </c>
      <c r="K1004" s="7">
        <v>1.2403</v>
      </c>
      <c r="L1004" s="3">
        <v>46.4</v>
      </c>
      <c r="M1004" s="3">
        <v>1.51</v>
      </c>
    </row>
    <row r="1005" spans="1:13">
      <c r="A1005" s="8" t="s">
        <v>1016</v>
      </c>
      <c r="B1005" s="2">
        <f>HYPERLINK("https://www.suredividend.com/sure-analysis-research-database/","CENTRUS ENERGY CORP")</f>
        <v>0</v>
      </c>
      <c r="C1005" s="1" t="s">
        <v>1969</v>
      </c>
      <c r="D1005" s="3">
        <v>309.56</v>
      </c>
      <c r="F1005" s="4">
        <v>0</v>
      </c>
      <c r="G1005" s="3">
        <v>138</v>
      </c>
      <c r="H1005" s="5">
        <v>5535.365006</v>
      </c>
      <c r="I1005" s="6">
        <v>75.61969999999999</v>
      </c>
      <c r="K1005" s="7">
        <v>1.3224</v>
      </c>
      <c r="L1005" s="3">
        <v>464.25</v>
      </c>
      <c r="M1005" s="3">
        <v>49.4</v>
      </c>
    </row>
    <row r="1006" spans="1:13">
      <c r="A1006" s="8" t="s">
        <v>1017</v>
      </c>
      <c r="B1006" s="2">
        <f>HYPERLINK("https://www.suredividend.com/sure-analysis-research-database/","LIFECORE BIOMEDICAL, INC. \DE\")</f>
        <v>0</v>
      </c>
      <c r="C1006" s="1" t="s">
        <v>1959</v>
      </c>
      <c r="D1006" s="3">
        <v>8.43</v>
      </c>
      <c r="F1006" s="4">
        <v>0</v>
      </c>
      <c r="G1006" s="3">
        <v>0</v>
      </c>
      <c r="H1006" s="5">
        <v>315.841347</v>
      </c>
      <c r="J1006" s="4">
        <v>0</v>
      </c>
      <c r="K1006" s="7">
        <v>1.0982</v>
      </c>
      <c r="L1006" s="3">
        <v>8.85</v>
      </c>
      <c r="M1006" s="3">
        <v>4.76</v>
      </c>
    </row>
    <row r="1007" spans="1:13">
      <c r="A1007" s="8" t="s">
        <v>1018</v>
      </c>
      <c r="B1007" s="2">
        <f>HYPERLINK("https://www.suredividend.com/sure-analysis-research-database/","LifeMD, Inc.")</f>
        <v>0</v>
      </c>
      <c r="C1007" s="1" t="s">
        <v>1959</v>
      </c>
      <c r="D1007" s="3">
        <v>3.59</v>
      </c>
      <c r="F1007" s="4">
        <v>0</v>
      </c>
      <c r="G1007" s="3">
        <v>0</v>
      </c>
      <c r="H1007" s="5">
        <v>170.401033</v>
      </c>
      <c r="K1007" s="7">
        <v>2.0151</v>
      </c>
      <c r="L1007" s="3">
        <v>15.84</v>
      </c>
      <c r="M1007" s="3">
        <v>3.18</v>
      </c>
    </row>
    <row r="1008" spans="1:13">
      <c r="A1008" s="8" t="s">
        <v>1019</v>
      </c>
      <c r="B1008" s="2">
        <f>HYPERLINK("https://www.suredividend.com/sure-analysis-research-database/","LifeStance Health Group, Inc.")</f>
        <v>0</v>
      </c>
      <c r="C1008" s="1" t="s">
        <v>1959</v>
      </c>
      <c r="D1008" s="3">
        <v>7.19</v>
      </c>
      <c r="F1008" s="4">
        <v>0</v>
      </c>
      <c r="G1008" s="3">
        <v>0</v>
      </c>
      <c r="H1008" s="5">
        <v>2804.692026</v>
      </c>
      <c r="J1008" s="4">
        <v>0</v>
      </c>
      <c r="K1008" s="7">
        <v>0.7848000000000001</v>
      </c>
      <c r="L1008" s="3">
        <v>8.300000000000001</v>
      </c>
      <c r="M1008" s="3">
        <v>3.74</v>
      </c>
    </row>
    <row r="1009" spans="1:13">
      <c r="A1009" s="8" t="s">
        <v>1020</v>
      </c>
      <c r="B1009" s="2">
        <f>HYPERLINK("https://www.suredividend.com/sure-analysis-research-database/","LIONS GATE ENTERTAINMENT CORP /CN/")</f>
        <v>0</v>
      </c>
      <c r="C1009" s="1" t="s">
        <v>1959</v>
      </c>
      <c r="D1009" s="3">
        <v>0</v>
      </c>
      <c r="F1009" s="4">
        <v>0</v>
      </c>
      <c r="G1009" s="3">
        <v>0.27</v>
      </c>
      <c r="H1009" s="5">
        <v>170.82398</v>
      </c>
      <c r="J1009" s="4">
        <v>0</v>
      </c>
      <c r="K1009" s="7">
        <v>1.0848</v>
      </c>
    </row>
    <row r="1010" spans="1:13">
      <c r="A1010" s="8" t="s">
        <v>1021</v>
      </c>
      <c r="B1010" s="2">
        <f>HYPERLINK("https://www.suredividend.com/sure-analysis-research-database/","LIONS GATE ENTERTAINMENT CORP /CN/")</f>
        <v>0</v>
      </c>
      <c r="C1010" s="1" t="s">
        <v>1959</v>
      </c>
      <c r="D1010" s="3">
        <v>0</v>
      </c>
      <c r="F1010" s="4">
        <v>0</v>
      </c>
      <c r="G1010" s="3">
        <v>0.27</v>
      </c>
      <c r="H1010" s="5">
        <v>170.82398</v>
      </c>
      <c r="J1010" s="4">
        <v>0</v>
      </c>
      <c r="K1010" s="7">
        <v>1.0657</v>
      </c>
    </row>
    <row r="1011" spans="1:13">
      <c r="A1011" s="8" t="s">
        <v>1022</v>
      </c>
      <c r="B1011" s="2">
        <f>HYPERLINK("https://www.suredividend.com/sure-analysis-research-database/","LGI Homes, Inc.")</f>
        <v>0</v>
      </c>
      <c r="C1011" s="1" t="s">
        <v>1963</v>
      </c>
      <c r="D1011" s="3">
        <v>54.62</v>
      </c>
      <c r="F1011" s="4">
        <v>0</v>
      </c>
      <c r="G1011" s="3">
        <v>0</v>
      </c>
      <c r="H1011" s="5">
        <v>1242.117162</v>
      </c>
      <c r="I1011" s="6">
        <v>11.7069</v>
      </c>
      <c r="J1011" s="4">
        <v>0</v>
      </c>
      <c r="K1011" s="7">
        <v>1.4988</v>
      </c>
      <c r="L1011" s="3">
        <v>97.25</v>
      </c>
      <c r="M1011" s="3">
        <v>39.7</v>
      </c>
    </row>
    <row r="1012" spans="1:13">
      <c r="A1012" s="8" t="s">
        <v>1023</v>
      </c>
      <c r="B1012" s="2">
        <f>HYPERLINK("https://www.suredividend.com/sure-analysis-research-database/","LIGAND PHARMACEUTICALS INC")</f>
        <v>0</v>
      </c>
      <c r="C1012" s="1" t="s">
        <v>1965</v>
      </c>
      <c r="D1012" s="3">
        <v>201.51</v>
      </c>
      <c r="F1012" s="4">
        <v>0</v>
      </c>
      <c r="G1012" s="3">
        <v>0.46</v>
      </c>
      <c r="H1012" s="5">
        <v>3926.699957</v>
      </c>
      <c r="I1012" s="6">
        <v>80.8279</v>
      </c>
      <c r="J1012" s="4">
        <v>0</v>
      </c>
      <c r="K1012" s="7">
        <v>1.0444</v>
      </c>
      <c r="L1012" s="3">
        <v>212.49</v>
      </c>
      <c r="M1012" s="3">
        <v>93.58</v>
      </c>
    </row>
    <row r="1013" spans="1:13">
      <c r="A1013" s="8" t="s">
        <v>1024</v>
      </c>
      <c r="B1013" s="2">
        <f>HYPERLINK("https://www.suredividend.com/sure-analysis-research-database/","LOGILITY SUPPLY CHAIN SOLUTIONS, INC")</f>
        <v>0</v>
      </c>
      <c r="C1013" s="1" t="s">
        <v>1959</v>
      </c>
      <c r="D1013" s="3">
        <v>0</v>
      </c>
      <c r="E1013" s="4">
        <v>0.03</v>
      </c>
      <c r="F1013" s="4">
        <v>0.02617</v>
      </c>
      <c r="G1013" s="3">
        <v>0.44</v>
      </c>
      <c r="H1013" s="5">
        <v>481.416653</v>
      </c>
      <c r="I1013" s="6">
        <v>150.0675</v>
      </c>
      <c r="J1013" s="4">
        <v>4.576683</v>
      </c>
      <c r="K1013" s="7">
        <v>0.763</v>
      </c>
    </row>
    <row r="1014" spans="1:13">
      <c r="A1014" s="8" t="s">
        <v>1025</v>
      </c>
      <c r="B1014" s="2">
        <f>HYPERLINK("https://www.suredividend.com/sure-analysis-research-database/","Life360, Inc.")</f>
        <v>0</v>
      </c>
      <c r="C1014" s="1" t="s">
        <v>1959</v>
      </c>
      <c r="D1014" s="3">
        <v>53.08</v>
      </c>
      <c r="F1014" s="4">
        <v>0</v>
      </c>
      <c r="G1014" s="3">
        <v>0</v>
      </c>
      <c r="H1014" s="5">
        <v>4160.71549</v>
      </c>
      <c r="I1014" s="6">
        <v>140.2142</v>
      </c>
      <c r="J1014" s="4">
        <v>0</v>
      </c>
      <c r="K1014" s="7">
        <v>2.0165</v>
      </c>
      <c r="L1014" s="3">
        <v>112.54</v>
      </c>
      <c r="M1014" s="3">
        <v>29.62</v>
      </c>
    </row>
    <row r="1015" spans="1:13">
      <c r="A1015" s="8" t="s">
        <v>1026</v>
      </c>
      <c r="B1015" s="2">
        <f>HYPERLINK("https://www.suredividend.com/sure-analysis-research-database/","Liberty Latin America Ltd.")</f>
        <v>0</v>
      </c>
      <c r="C1015" s="1" t="s">
        <v>1968</v>
      </c>
      <c r="D1015" s="3">
        <v>7.54</v>
      </c>
      <c r="F1015" s="4">
        <v>0</v>
      </c>
      <c r="G1015" s="3">
        <v>0</v>
      </c>
      <c r="H1015" s="5">
        <v>1509.508</v>
      </c>
      <c r="K1015" s="7">
        <v>0.953</v>
      </c>
      <c r="L1015" s="3">
        <v>9.039999999999999</v>
      </c>
      <c r="M1015" s="3">
        <v>4.25</v>
      </c>
    </row>
    <row r="1016" spans="1:13">
      <c r="A1016" s="8" t="s">
        <v>1027</v>
      </c>
      <c r="B1016" s="2">
        <f>HYPERLINK("https://www.suredividend.com/sure-analysis-research-database/","Liberty Latin America Ltd.")</f>
        <v>0</v>
      </c>
      <c r="C1016" s="1" t="s">
        <v>1968</v>
      </c>
      <c r="D1016" s="3">
        <v>7.69</v>
      </c>
      <c r="F1016" s="4">
        <v>0</v>
      </c>
      <c r="G1016" s="3">
        <v>0</v>
      </c>
      <c r="H1016" s="5">
        <v>1509.508</v>
      </c>
      <c r="K1016" s="7">
        <v>0.9901</v>
      </c>
      <c r="L1016" s="3">
        <v>9.130000000000001</v>
      </c>
      <c r="M1016" s="3">
        <v>4.23</v>
      </c>
    </row>
    <row r="1017" spans="1:13">
      <c r="A1017" s="8" t="s">
        <v>1028</v>
      </c>
      <c r="B1017" s="2">
        <f>HYPERLINK("https://www.suredividend.com/sure-analysis-research-database/","LINCOLN EDUCATIONAL SERVICES CORP")</f>
        <v>0</v>
      </c>
      <c r="C1017" s="1" t="s">
        <v>1966</v>
      </c>
      <c r="D1017" s="3">
        <v>27.25</v>
      </c>
      <c r="F1017" s="4">
        <v>0</v>
      </c>
      <c r="G1017" s="3">
        <v>0.18</v>
      </c>
      <c r="H1017" s="5">
        <v>860.969168</v>
      </c>
      <c r="I1017" s="6">
        <v>60.9277</v>
      </c>
      <c r="J1017" s="4">
        <v>0</v>
      </c>
      <c r="K1017" s="7">
        <v>0.9992</v>
      </c>
      <c r="L1017" s="3">
        <v>27.3</v>
      </c>
      <c r="M1017" s="3">
        <v>14.1</v>
      </c>
    </row>
    <row r="1018" spans="1:13">
      <c r="A1018" s="8" t="s">
        <v>1029</v>
      </c>
      <c r="B1018" s="2">
        <f>HYPERLINK("https://www.suredividend.com/sure-analysis-research-database/","LINDBLAD EXPEDITIONS HOLDINGS, INC.")</f>
        <v>0</v>
      </c>
      <c r="C1018" s="1" t="s">
        <v>1963</v>
      </c>
      <c r="D1018" s="3">
        <v>16.165</v>
      </c>
      <c r="F1018" s="4">
        <v>0</v>
      </c>
      <c r="G1018" s="3">
        <v>0</v>
      </c>
      <c r="H1018" s="5">
        <v>896.384022</v>
      </c>
      <c r="J1018" s="4">
        <v>0</v>
      </c>
      <c r="K1018" s="7">
        <v>2.066</v>
      </c>
      <c r="L1018" s="3">
        <v>17.19</v>
      </c>
      <c r="M1018" s="3">
        <v>7.45</v>
      </c>
    </row>
    <row r="1019" spans="1:13">
      <c r="A1019" s="8" t="s">
        <v>1030</v>
      </c>
      <c r="B1019" s="2">
        <f>HYPERLINK("https://www.suredividend.com/sure-analysis-research-database/","LivaNova PLC")</f>
        <v>0</v>
      </c>
      <c r="C1019" s="1" t="s">
        <v>1965</v>
      </c>
      <c r="D1019" s="3">
        <v>63.13</v>
      </c>
      <c r="F1019" s="4">
        <v>0</v>
      </c>
      <c r="G1019" s="3">
        <v>0</v>
      </c>
      <c r="H1019" s="5">
        <v>3454.891693</v>
      </c>
      <c r="J1019" s="4">
        <v>0</v>
      </c>
      <c r="K1019" s="7">
        <v>1.108</v>
      </c>
      <c r="L1019" s="3">
        <v>65.56999999999999</v>
      </c>
      <c r="M1019" s="3">
        <v>32.48</v>
      </c>
    </row>
    <row r="1020" spans="1:13">
      <c r="A1020" s="8" t="s">
        <v>1031</v>
      </c>
      <c r="B1020" s="2">
        <f>HYPERLINK("https://www.suredividend.com/sure-analysis-LKFN/","LAKELAND FINANCIAL CORP")</f>
        <v>0</v>
      </c>
      <c r="C1020" s="1" t="s">
        <v>1962</v>
      </c>
      <c r="D1020" s="3">
        <v>61.21</v>
      </c>
      <c r="E1020" s="4">
        <v>0.03398137559222349</v>
      </c>
      <c r="F1020" s="4">
        <v>0.03029</v>
      </c>
      <c r="G1020" s="3">
        <v>2</v>
      </c>
      <c r="H1020" s="5">
        <v>1564.400697</v>
      </c>
      <c r="I1020" s="6">
        <v>16.0213</v>
      </c>
      <c r="J1020" s="4">
        <v>0.521317</v>
      </c>
      <c r="K1020" s="7">
        <v>0.8408</v>
      </c>
      <c r="L1020" s="3">
        <v>69.97</v>
      </c>
      <c r="M1020" s="3">
        <v>49.2</v>
      </c>
    </row>
    <row r="1021" spans="1:13">
      <c r="A1021" s="8" t="s">
        <v>1032</v>
      </c>
      <c r="B1021" s="2">
        <f>HYPERLINK("https://www.suredividend.com/sure-analysis-LMAT/","LEMAITRE VASCULAR INC")</f>
        <v>0</v>
      </c>
      <c r="C1021" s="1" t="s">
        <v>1965</v>
      </c>
      <c r="D1021" s="3">
        <v>87.95</v>
      </c>
      <c r="E1021" s="4">
        <v>0.009096077316657191</v>
      </c>
      <c r="F1021" s="4">
        <v>0.00704</v>
      </c>
      <c r="G1021" s="3">
        <v>0.8</v>
      </c>
      <c r="H1021" s="5">
        <v>1973.454618</v>
      </c>
      <c r="I1021" s="6">
        <v>37.0004</v>
      </c>
      <c r="J1021" s="4">
        <v>0.321959</v>
      </c>
      <c r="K1021" s="7">
        <v>0.7279</v>
      </c>
      <c r="L1021" s="3">
        <v>104.58</v>
      </c>
      <c r="M1021" s="3">
        <v>70.94</v>
      </c>
    </row>
    <row r="1022" spans="1:13">
      <c r="A1022" s="8" t="s">
        <v>1033</v>
      </c>
      <c r="B1022" s="2">
        <f>HYPERLINK("https://www.suredividend.com/sure-analysis-research-database/","Limbach Holdings, Inc.")</f>
        <v>0</v>
      </c>
      <c r="C1022" s="1" t="s">
        <v>1964</v>
      </c>
      <c r="D1022" s="3">
        <v>83.41</v>
      </c>
      <c r="F1022" s="4">
        <v>0</v>
      </c>
      <c r="G1022" s="3">
        <v>0</v>
      </c>
      <c r="H1022" s="5">
        <v>968.164802</v>
      </c>
      <c r="I1022" s="6">
        <v>26.4483</v>
      </c>
      <c r="J1022" s="4">
        <v>0</v>
      </c>
      <c r="K1022" s="7">
        <v>1.3171</v>
      </c>
      <c r="L1022" s="3">
        <v>154.05</v>
      </c>
      <c r="M1022" s="3">
        <v>63.02</v>
      </c>
    </row>
    <row r="1023" spans="1:13">
      <c r="A1023" s="8" t="s">
        <v>1034</v>
      </c>
      <c r="B1023" s="2">
        <f>HYPERLINK("https://www.suredividend.com/sure-analysis-research-database/","Lemonade, Inc.")</f>
        <v>0</v>
      </c>
      <c r="C1023" s="1" t="s">
        <v>1959</v>
      </c>
      <c r="D1023" s="3">
        <v>88.59999999999999</v>
      </c>
      <c r="F1023" s="4">
        <v>0</v>
      </c>
      <c r="G1023" s="3">
        <v>0</v>
      </c>
      <c r="H1023" s="5">
        <v>6379.040465</v>
      </c>
      <c r="J1023" s="4">
        <v>0</v>
      </c>
      <c r="K1023" s="7">
        <v>2.1089</v>
      </c>
      <c r="L1023" s="3">
        <v>88.88</v>
      </c>
      <c r="M1023" s="3">
        <v>24.31</v>
      </c>
    </row>
    <row r="1024" spans="1:13">
      <c r="A1024" s="8" t="s">
        <v>1035</v>
      </c>
      <c r="B1024" s="2">
        <f>HYPERLINK("https://www.suredividend.com/sure-analysis-research-database/","Limoneira CO")</f>
        <v>0</v>
      </c>
      <c r="C1024" s="1" t="s">
        <v>1966</v>
      </c>
      <c r="D1024" s="3">
        <v>14.58</v>
      </c>
      <c r="E1024" s="4">
        <v>0.02</v>
      </c>
      <c r="F1024" s="4">
        <v>0.02306</v>
      </c>
      <c r="G1024" s="3">
        <v>0.3</v>
      </c>
      <c r="H1024" s="5">
        <v>264.539108</v>
      </c>
      <c r="K1024" s="7">
        <v>0.5042</v>
      </c>
      <c r="L1024" s="3">
        <v>23.17</v>
      </c>
      <c r="M1024" s="3">
        <v>12.2</v>
      </c>
    </row>
    <row r="1025" spans="1:13">
      <c r="A1025" s="8" t="s">
        <v>1036</v>
      </c>
      <c r="B1025" s="2">
        <f>HYPERLINK("https://www.suredividend.com/sure-analysis-research-database/","LINKBANCORP, Inc.")</f>
        <v>0</v>
      </c>
      <c r="C1025" s="1" t="s">
        <v>1962</v>
      </c>
      <c r="D1025" s="3">
        <v>8.789999999999999</v>
      </c>
      <c r="E1025" s="4">
        <v>0.03</v>
      </c>
      <c r="F1025" s="4">
        <v>0.02361</v>
      </c>
      <c r="G1025" s="3">
        <v>0.3</v>
      </c>
      <c r="H1025" s="5">
        <v>329.609702</v>
      </c>
      <c r="I1025" s="6">
        <v>8.639200000000001</v>
      </c>
      <c r="J1025" s="4">
        <v>0.292061</v>
      </c>
      <c r="K1025" s="7">
        <v>0.4953</v>
      </c>
      <c r="L1025" s="3">
        <v>9.039999999999999</v>
      </c>
      <c r="M1025" s="3">
        <v>5.9</v>
      </c>
    </row>
    <row r="1026" spans="1:13">
      <c r="A1026" s="8" t="s">
        <v>1037</v>
      </c>
      <c r="B1026" s="2">
        <f>HYPERLINK("https://www.suredividend.com/sure-analysis-LNN/","LINDSAY CORP")</f>
        <v>0</v>
      </c>
      <c r="C1026" s="1" t="s">
        <v>1964</v>
      </c>
      <c r="D1026" s="3">
        <v>125.72</v>
      </c>
      <c r="E1026" s="4">
        <v>0.01177219217308304</v>
      </c>
      <c r="F1026" s="4">
        <v>0.01112</v>
      </c>
      <c r="G1026" s="3">
        <v>1.46</v>
      </c>
      <c r="H1026" s="5">
        <v>1314.360987</v>
      </c>
      <c r="I1026" s="6">
        <v>17.7492</v>
      </c>
      <c r="J1026" s="4">
        <v>0.208786</v>
      </c>
      <c r="K1026" s="7">
        <v>0.7085</v>
      </c>
      <c r="L1026" s="3">
        <v>150.07</v>
      </c>
      <c r="M1026" s="3">
        <v>106.1</v>
      </c>
    </row>
    <row r="1027" spans="1:13">
      <c r="A1027" s="8" t="s">
        <v>1038</v>
      </c>
      <c r="B1027" s="2">
        <f>HYPERLINK("https://www.suredividend.com/sure-analysis-research-database/","Lantheus Holdings, Inc.")</f>
        <v>0</v>
      </c>
      <c r="C1027" s="1" t="s">
        <v>1965</v>
      </c>
      <c r="D1027" s="3">
        <v>66.40000000000001</v>
      </c>
      <c r="F1027" s="4">
        <v>0</v>
      </c>
      <c r="G1027" s="3">
        <v>0</v>
      </c>
      <c r="H1027" s="5">
        <v>4405.754597</v>
      </c>
      <c r="I1027" s="6">
        <v>26.2746</v>
      </c>
      <c r="J1027" s="4">
        <v>0</v>
      </c>
      <c r="K1027" s="7">
        <v>0.3739</v>
      </c>
      <c r="L1027" s="3">
        <v>111.29</v>
      </c>
      <c r="M1027" s="3">
        <v>47.25</v>
      </c>
    </row>
    <row r="1028" spans="1:13">
      <c r="A1028" s="8" t="s">
        <v>1039</v>
      </c>
      <c r="B1028" s="2">
        <f>HYPERLINK("https://www.suredividend.com/sure-analysis-research-database/","LanzaTech Global, Inc.")</f>
        <v>0</v>
      </c>
      <c r="C1028" s="1" t="s">
        <v>1959</v>
      </c>
      <c r="D1028" s="3">
        <v>13.6</v>
      </c>
      <c r="F1028" s="4">
        <v>0</v>
      </c>
      <c r="G1028" s="3">
        <v>0</v>
      </c>
      <c r="H1028" s="5">
        <v>31.89833</v>
      </c>
      <c r="J1028" s="4">
        <v>0</v>
      </c>
      <c r="K1028" s="7">
        <v>2.4053</v>
      </c>
      <c r="L1028" s="3">
        <v>162</v>
      </c>
      <c r="M1028" s="3">
        <v>11.2</v>
      </c>
    </row>
    <row r="1029" spans="1:13">
      <c r="A1029" s="8" t="s">
        <v>1040</v>
      </c>
      <c r="B1029" s="2">
        <f>HYPERLINK("https://www.suredividend.com/sure-analysis-research-database/","Live Oak Bancshares, Inc.")</f>
        <v>0</v>
      </c>
      <c r="C1029" s="1" t="s">
        <v>1962</v>
      </c>
      <c r="D1029" s="3">
        <v>40.5</v>
      </c>
      <c r="F1029" s="4">
        <v>0.00337</v>
      </c>
      <c r="G1029" s="3">
        <v>0.12</v>
      </c>
      <c r="H1029" s="5">
        <v>1788.447063</v>
      </c>
      <c r="I1029" s="6">
        <v>26.068</v>
      </c>
      <c r="J1029" s="4">
        <v>0.09257</v>
      </c>
      <c r="K1029" s="7">
        <v>1.289</v>
      </c>
      <c r="L1029" s="3">
        <v>41.4</v>
      </c>
      <c r="M1029" s="3">
        <v>22.62</v>
      </c>
    </row>
    <row r="1030" spans="1:13">
      <c r="A1030" s="8" t="s">
        <v>1041</v>
      </c>
      <c r="B1030" s="2">
        <f>HYPERLINK("https://www.suredividend.com/sure-analysis-research-database/","El Pollo Loco Holdings, Inc.")</f>
        <v>0</v>
      </c>
      <c r="C1030" s="1" t="s">
        <v>1963</v>
      </c>
      <c r="D1030" s="3">
        <v>11.04</v>
      </c>
      <c r="F1030" s="4">
        <v>0.02799</v>
      </c>
      <c r="G1030" s="3">
        <v>1.5</v>
      </c>
      <c r="H1030" s="5">
        <v>330.702482</v>
      </c>
      <c r="I1030" s="6">
        <v>12.7689</v>
      </c>
      <c r="J1030" s="4">
        <v>0</v>
      </c>
      <c r="K1030" s="7">
        <v>1.055</v>
      </c>
      <c r="L1030" s="3">
        <v>12.65</v>
      </c>
      <c r="M1030" s="3">
        <v>8.289999999999999</v>
      </c>
    </row>
    <row r="1031" spans="1:13">
      <c r="A1031" s="8" t="s">
        <v>1042</v>
      </c>
      <c r="B1031" s="2">
        <f>HYPERLINK("https://www.suredividend.com/sure-analysis-research-database/","Lovesac Co")</f>
        <v>0</v>
      </c>
      <c r="C1031" s="1" t="s">
        <v>1963</v>
      </c>
      <c r="D1031" s="3">
        <v>14.88</v>
      </c>
      <c r="F1031" s="4">
        <v>0</v>
      </c>
      <c r="G1031" s="3">
        <v>0</v>
      </c>
      <c r="H1031" s="5">
        <v>217.356366</v>
      </c>
      <c r="I1031" s="6">
        <v>29.9142</v>
      </c>
      <c r="J1031" s="4">
        <v>0</v>
      </c>
      <c r="K1031" s="7">
        <v>2.1269</v>
      </c>
      <c r="L1031" s="3">
        <v>26.91</v>
      </c>
      <c r="M1031" s="3">
        <v>11.26</v>
      </c>
    </row>
    <row r="1032" spans="1:13">
      <c r="A1032" s="8" t="s">
        <v>1043</v>
      </c>
      <c r="B1032" s="2">
        <f>HYPERLINK("https://www.suredividend.com/sure-analysis-research-database/","DORIAN LPG LTD.")</f>
        <v>0</v>
      </c>
      <c r="C1032" s="1" t="s">
        <v>1969</v>
      </c>
      <c r="D1032" s="3">
        <v>28.57</v>
      </c>
      <c r="E1032" s="4">
        <v>0.09</v>
      </c>
      <c r="F1032" s="4">
        <v>0.1212</v>
      </c>
      <c r="G1032" s="3">
        <v>2.45</v>
      </c>
      <c r="H1032" s="5">
        <v>1226.026823</v>
      </c>
      <c r="I1032" s="6">
        <v>12.9167</v>
      </c>
      <c r="J1032" s="4">
        <v>1.263329</v>
      </c>
      <c r="K1032" s="7">
        <v>1.1242</v>
      </c>
      <c r="L1032" s="3">
        <v>31.99</v>
      </c>
      <c r="M1032" s="3">
        <v>15.6</v>
      </c>
    </row>
    <row r="1033" spans="1:13">
      <c r="A1033" s="8" t="s">
        <v>1044</v>
      </c>
      <c r="B1033" s="2">
        <f>HYPERLINK("https://www.suredividend.com/sure-analysis-research-database/","Open Lending Corp")</f>
        <v>0</v>
      </c>
      <c r="C1033" s="1" t="s">
        <v>1959</v>
      </c>
      <c r="D1033" s="3">
        <v>1.965</v>
      </c>
      <c r="F1033" s="4">
        <v>0</v>
      </c>
      <c r="G1033" s="3">
        <v>0</v>
      </c>
      <c r="H1033" s="5">
        <v>232.833203</v>
      </c>
      <c r="J1033" s="4">
        <v>0</v>
      </c>
      <c r="K1033" s="7">
        <v>2.4576</v>
      </c>
      <c r="L1033" s="3">
        <v>6.73</v>
      </c>
      <c r="M1033" s="3">
        <v>0.7</v>
      </c>
    </row>
    <row r="1034" spans="1:13">
      <c r="A1034" s="8" t="s">
        <v>1045</v>
      </c>
      <c r="B1034" s="2">
        <f>HYPERLINK("https://www.suredividend.com/sure-analysis-research-database/","Liquidia Corp")</f>
        <v>0</v>
      </c>
      <c r="C1034" s="1" t="s">
        <v>1965</v>
      </c>
      <c r="D1034" s="3">
        <v>40.07</v>
      </c>
      <c r="F1034" s="4">
        <v>0</v>
      </c>
      <c r="G1034" s="3">
        <v>0</v>
      </c>
      <c r="H1034" s="5">
        <v>3452.055873</v>
      </c>
      <c r="J1034" s="4">
        <v>0</v>
      </c>
      <c r="K1034" s="7">
        <v>1.5896</v>
      </c>
      <c r="L1034" s="3">
        <v>41.57</v>
      </c>
      <c r="M1034" s="3">
        <v>11.26</v>
      </c>
    </row>
    <row r="1035" spans="1:13">
      <c r="A1035" s="8" t="s">
        <v>1046</v>
      </c>
      <c r="B1035" s="2">
        <f>HYPERLINK("https://www.suredividend.com/sure-analysis-research-database/","LIQUIDITY SERVICES INC")</f>
        <v>0</v>
      </c>
      <c r="C1035" s="1" t="s">
        <v>1963</v>
      </c>
      <c r="D1035" s="3">
        <v>31.9</v>
      </c>
      <c r="F1035" s="4">
        <v>0</v>
      </c>
      <c r="G1035" s="3">
        <v>0</v>
      </c>
      <c r="H1035" s="5">
        <v>977.10217</v>
      </c>
      <c r="I1035" s="6">
        <v>34.781</v>
      </c>
      <c r="J1035" s="4">
        <v>0</v>
      </c>
      <c r="K1035" s="7">
        <v>0.7968</v>
      </c>
      <c r="L1035" s="3">
        <v>39.72</v>
      </c>
      <c r="M1035" s="3">
        <v>21.67</v>
      </c>
    </row>
    <row r="1036" spans="1:13">
      <c r="A1036" s="8" t="s">
        <v>1047</v>
      </c>
      <c r="B1036" s="2">
        <f>HYPERLINK("https://www.suredividend.com/sure-analysis-research-database/","Larimar Therapeutics, Inc.")</f>
        <v>0</v>
      </c>
      <c r="C1036" s="1" t="s">
        <v>1959</v>
      </c>
      <c r="D1036" s="3">
        <v>3.31</v>
      </c>
      <c r="F1036" s="4">
        <v>0</v>
      </c>
      <c r="G1036" s="3">
        <v>0</v>
      </c>
      <c r="H1036" s="5">
        <v>284.160101</v>
      </c>
      <c r="J1036" s="4">
        <v>0</v>
      </c>
      <c r="K1036" s="7">
        <v>1.6878</v>
      </c>
      <c r="L1036" s="3">
        <v>5.37</v>
      </c>
      <c r="M1036" s="3">
        <v>1.61</v>
      </c>
    </row>
    <row r="1037" spans="1:13">
      <c r="A1037" s="8" t="s">
        <v>1048</v>
      </c>
      <c r="B1037" s="2">
        <f>HYPERLINK("https://www.suredividend.com/sure-analysis-research-database/","Stride, Inc.")</f>
        <v>0</v>
      </c>
      <c r="C1037" s="1" t="s">
        <v>1966</v>
      </c>
      <c r="D1037" s="3">
        <v>71.69</v>
      </c>
      <c r="F1037" s="4">
        <v>0</v>
      </c>
      <c r="G1037" s="3">
        <v>0</v>
      </c>
      <c r="H1037" s="5">
        <v>3140.716279</v>
      </c>
      <c r="I1037" s="6">
        <v>9.9434</v>
      </c>
      <c r="J1037" s="4">
        <v>0</v>
      </c>
      <c r="K1037" s="7">
        <v>0.4229</v>
      </c>
      <c r="L1037" s="3">
        <v>171.17</v>
      </c>
      <c r="M1037" s="3">
        <v>60.61</v>
      </c>
    </row>
    <row r="1038" spans="1:13">
      <c r="A1038" s="8" t="s">
        <v>1049</v>
      </c>
      <c r="B1038" s="2">
        <f>HYPERLINK("https://www.suredividend.com/sure-analysis-research-database/","Landsea Homes Corp")</f>
        <v>0</v>
      </c>
      <c r="C1038" s="1" t="s">
        <v>1959</v>
      </c>
      <c r="D1038" s="3">
        <v>0</v>
      </c>
      <c r="F1038" s="4">
        <v>0</v>
      </c>
      <c r="G1038" s="3">
        <v>0</v>
      </c>
      <c r="H1038" s="5">
        <v>411.792124</v>
      </c>
      <c r="I1038" s="6">
        <v>42.0754</v>
      </c>
      <c r="J1038" s="4">
        <v>1.970311</v>
      </c>
      <c r="K1038" s="7">
        <v>1.397</v>
      </c>
    </row>
    <row r="1039" spans="1:13">
      <c r="A1039" s="8" t="s">
        <v>1050</v>
      </c>
      <c r="B1039" s="2">
        <f>HYPERLINK("https://www.suredividend.com/sure-analysis-LTC/","LTC PROPERTIES INC")</f>
        <v>0</v>
      </c>
      <c r="C1039" s="1" t="s">
        <v>1961</v>
      </c>
      <c r="D1039" s="3">
        <v>37.71</v>
      </c>
      <c r="E1039" s="4">
        <v>0.06046141607000795</v>
      </c>
      <c r="F1039" s="4">
        <v>0.06439</v>
      </c>
      <c r="G1039" s="3">
        <v>2.28</v>
      </c>
      <c r="H1039" s="5">
        <v>1792.674329</v>
      </c>
      <c r="I1039" s="6">
        <v>53.9215</v>
      </c>
      <c r="J1039" s="4">
        <v>2.65848</v>
      </c>
      <c r="K1039" s="7">
        <v>0.371</v>
      </c>
      <c r="L1039" s="3">
        <v>37.7</v>
      </c>
      <c r="M1039" s="3">
        <v>30.2</v>
      </c>
    </row>
    <row r="1040" spans="1:13">
      <c r="A1040" s="8" t="s">
        <v>1051</v>
      </c>
      <c r="B1040" s="2">
        <f>HYPERLINK("https://www.suredividend.com/sure-analysis-research-database/","Life Time Group Holdings, Inc.")</f>
        <v>0</v>
      </c>
      <c r="C1040" s="1" t="s">
        <v>1959</v>
      </c>
      <c r="D1040" s="3">
        <v>28.91</v>
      </c>
      <c r="F1040" s="4">
        <v>0</v>
      </c>
      <c r="G1040" s="3">
        <v>0</v>
      </c>
      <c r="H1040" s="5">
        <v>6154.496563</v>
      </c>
      <c r="I1040" s="6">
        <v>21.3821</v>
      </c>
      <c r="J1040" s="4">
        <v>0</v>
      </c>
      <c r="K1040" s="7">
        <v>1.2277</v>
      </c>
      <c r="L1040" s="3">
        <v>34.99</v>
      </c>
      <c r="M1040" s="3">
        <v>24.14</v>
      </c>
    </row>
    <row r="1041" spans="1:13">
      <c r="A1041" s="8" t="s">
        <v>1052</v>
      </c>
      <c r="B1041" s="2">
        <f>HYPERLINK("https://www.suredividend.com/sure-analysis-research-database/","Lumen Technologies, Inc.")</f>
        <v>0</v>
      </c>
      <c r="C1041" s="1" t="s">
        <v>1959</v>
      </c>
      <c r="D1041" s="3">
        <v>8.49</v>
      </c>
      <c r="F1041" s="4">
        <v>0.04217</v>
      </c>
      <c r="G1041" s="3">
        <v>1</v>
      </c>
      <c r="H1041" s="5">
        <v>8605.150979</v>
      </c>
      <c r="J1041" s="4">
        <v>0</v>
      </c>
      <c r="K1041" s="7">
        <v>1.1452</v>
      </c>
      <c r="L1041" s="3">
        <v>11.95</v>
      </c>
      <c r="M1041" s="3">
        <v>3.01</v>
      </c>
    </row>
    <row r="1042" spans="1:13">
      <c r="A1042" s="8" t="s">
        <v>1053</v>
      </c>
      <c r="B1042" s="2">
        <f>HYPERLINK("https://www.suredividend.com/sure-analysis-research-database/","Pulmonx Corp")</f>
        <v>0</v>
      </c>
      <c r="C1042" s="1" t="s">
        <v>1959</v>
      </c>
      <c r="D1042" s="3">
        <v>1.86</v>
      </c>
      <c r="F1042" s="4">
        <v>0</v>
      </c>
      <c r="G1042" s="3">
        <v>0</v>
      </c>
      <c r="H1042" s="5">
        <v>76.719483</v>
      </c>
      <c r="J1042" s="4">
        <v>0</v>
      </c>
      <c r="K1042" s="7">
        <v>1.1233</v>
      </c>
      <c r="L1042" s="3">
        <v>9.369999999999999</v>
      </c>
      <c r="M1042" s="3">
        <v>1.31</v>
      </c>
    </row>
    <row r="1043" spans="1:13">
      <c r="A1043" s="8" t="s">
        <v>1054</v>
      </c>
      <c r="B1043" s="2">
        <f>HYPERLINK("https://www.suredividend.com/sure-analysis-research-database/","Intuitive Machines, Inc.")</f>
        <v>0</v>
      </c>
      <c r="C1043" s="1" t="s">
        <v>1959</v>
      </c>
      <c r="D1043" s="3">
        <v>20.02</v>
      </c>
      <c r="F1043" s="4">
        <v>0</v>
      </c>
      <c r="G1043" s="3">
        <v>0</v>
      </c>
      <c r="H1043" s="5">
        <v>3532.293341</v>
      </c>
      <c r="K1043" s="7">
        <v>2.4973</v>
      </c>
      <c r="L1043" s="3">
        <v>24.95</v>
      </c>
      <c r="M1043" s="3">
        <v>6.14</v>
      </c>
    </row>
    <row r="1044" spans="1:13">
      <c r="A1044" s="8" t="s">
        <v>1055</v>
      </c>
      <c r="B1044" s="2">
        <f>HYPERLINK("https://www.suredividend.com/sure-analysis-research-database/","LiveOne, Inc.")</f>
        <v>0</v>
      </c>
      <c r="C1044" s="1" t="s">
        <v>1959</v>
      </c>
      <c r="D1044" s="3">
        <v>4.37</v>
      </c>
      <c r="F1044" s="4">
        <v>0</v>
      </c>
      <c r="G1044" s="3">
        <v>0</v>
      </c>
      <c r="H1044" s="5">
        <v>49.772651</v>
      </c>
      <c r="J1044" s="4">
        <v>0</v>
      </c>
      <c r="K1044" s="7">
        <v>2.0741</v>
      </c>
      <c r="L1044" s="3">
        <v>16</v>
      </c>
      <c r="M1044" s="3">
        <v>3.7</v>
      </c>
    </row>
    <row r="1045" spans="1:13">
      <c r="A1045" s="8" t="s">
        <v>1056</v>
      </c>
      <c r="B1045" s="2">
        <f>HYPERLINK("https://www.suredividend.com/sure-analysis-research-database/","LiveWire Group, Inc.")</f>
        <v>0</v>
      </c>
      <c r="C1045" s="1" t="s">
        <v>1959</v>
      </c>
      <c r="D1045" s="3">
        <v>2.51</v>
      </c>
      <c r="F1045" s="4">
        <v>0</v>
      </c>
      <c r="G1045" s="3">
        <v>0</v>
      </c>
      <c r="H1045" s="5">
        <v>526.290939</v>
      </c>
      <c r="J1045" s="4">
        <v>0</v>
      </c>
      <c r="K1045" s="7">
        <v>2.4711</v>
      </c>
      <c r="L1045" s="3">
        <v>9.039999999999999</v>
      </c>
      <c r="M1045" s="3">
        <v>0.93</v>
      </c>
    </row>
    <row r="1046" spans="1:13">
      <c r="A1046" s="8" t="s">
        <v>1057</v>
      </c>
      <c r="B1046" s="2">
        <f>HYPERLINK("https://www.suredividend.com/sure-analysis-research-database/","Lifeway Foods, Inc.")</f>
        <v>0</v>
      </c>
      <c r="C1046" s="1" t="s">
        <v>1966</v>
      </c>
      <c r="D1046" s="3">
        <v>22.31</v>
      </c>
      <c r="F1046" s="4">
        <v>0</v>
      </c>
      <c r="G1046" s="3">
        <v>0.08</v>
      </c>
      <c r="H1046" s="5">
        <v>339.753703</v>
      </c>
      <c r="I1046" s="6">
        <v>30.4493</v>
      </c>
      <c r="J1046" s="4">
        <v>0</v>
      </c>
      <c r="K1046" s="7">
        <v>0.2682</v>
      </c>
      <c r="L1046" s="3">
        <v>34.2</v>
      </c>
      <c r="M1046" s="3">
        <v>19.5</v>
      </c>
    </row>
    <row r="1047" spans="1:13">
      <c r="A1047" s="8" t="s">
        <v>1058</v>
      </c>
      <c r="B1047" s="2">
        <f>HYPERLINK("https://www.suredividend.com/sure-analysis-research-database/","Lightwave Logic, Inc.")</f>
        <v>0</v>
      </c>
      <c r="C1047" s="1" t="s">
        <v>1970</v>
      </c>
      <c r="D1047" s="3">
        <v>4.425</v>
      </c>
      <c r="F1047" s="4">
        <v>0</v>
      </c>
      <c r="G1047" s="3">
        <v>0</v>
      </c>
      <c r="H1047" s="5">
        <v>564.358339</v>
      </c>
      <c r="J1047" s="4">
        <v>0</v>
      </c>
      <c r="K1047" s="7">
        <v>2.6012</v>
      </c>
      <c r="L1047" s="3">
        <v>6.26</v>
      </c>
      <c r="M1047" s="3">
        <v>0.79</v>
      </c>
    </row>
    <row r="1048" spans="1:13">
      <c r="A1048" s="8" t="s">
        <v>1059</v>
      </c>
      <c r="B1048" s="2">
        <f>HYPERLINK("https://www.suredividend.com/sure-analysis-research-database/","Lexeo Therapeutics, Inc.")</f>
        <v>0</v>
      </c>
      <c r="C1048" s="1" t="s">
        <v>1959</v>
      </c>
      <c r="D1048" s="3">
        <v>7.24</v>
      </c>
      <c r="F1048" s="4">
        <v>0</v>
      </c>
      <c r="G1048" s="3">
        <v>0</v>
      </c>
      <c r="H1048" s="5">
        <v>527.6983739999999</v>
      </c>
      <c r="J1048" s="4">
        <v>0</v>
      </c>
      <c r="K1048" s="7">
        <v>2.3268</v>
      </c>
      <c r="L1048" s="3">
        <v>10.99</v>
      </c>
      <c r="M1048" s="3">
        <v>1.45</v>
      </c>
    </row>
    <row r="1049" spans="1:13">
      <c r="A1049" s="8" t="s">
        <v>1060</v>
      </c>
      <c r="B1049" s="2">
        <f>HYPERLINK("https://www.suredividend.com/sure-analysis-research-database/","LUXFER HOLDINGS PLC")</f>
        <v>0</v>
      </c>
      <c r="C1049" s="1" t="s">
        <v>1964</v>
      </c>
      <c r="D1049" s="3">
        <v>15.5</v>
      </c>
      <c r="E1049" s="4">
        <v>0.04</v>
      </c>
      <c r="F1049" s="4">
        <v>0.03873</v>
      </c>
      <c r="G1049" s="3">
        <v>0.65</v>
      </c>
      <c r="H1049" s="5">
        <v>408.037458</v>
      </c>
      <c r="I1049" s="6">
        <v>28.5341</v>
      </c>
      <c r="J1049" s="4">
        <v>0.979021</v>
      </c>
      <c r="K1049" s="7">
        <v>1.0595</v>
      </c>
      <c r="L1049" s="3">
        <v>15.5</v>
      </c>
      <c r="M1049" s="3">
        <v>9.1</v>
      </c>
    </row>
    <row r="1050" spans="1:13">
      <c r="A1050" s="8" t="s">
        <v>1061</v>
      </c>
      <c r="B1050" s="2">
        <f>HYPERLINK("https://www.suredividend.com/sure-analysis-LXP/","LXP Industrial Trust")</f>
        <v>0</v>
      </c>
      <c r="C1050" s="1" t="s">
        <v>1961</v>
      </c>
      <c r="D1050" s="3">
        <v>50.15</v>
      </c>
      <c r="E1050" s="4">
        <v>0.01116650049850449</v>
      </c>
      <c r="F1050" s="4">
        <v>0.05</v>
      </c>
      <c r="G1050" s="3">
        <v>2.72</v>
      </c>
      <c r="H1050" s="5">
        <v>2965.6329</v>
      </c>
      <c r="I1050" s="6">
        <v>26.7816</v>
      </c>
      <c r="J1050" s="4">
        <v>1.494867</v>
      </c>
      <c r="K1050" s="7">
        <v>0.8058999999999999</v>
      </c>
      <c r="L1050" s="3">
        <v>51.79</v>
      </c>
      <c r="M1050" s="3">
        <v>32.74</v>
      </c>
    </row>
    <row r="1051" spans="1:13">
      <c r="A1051" s="8" t="s">
        <v>1062</v>
      </c>
      <c r="B1051" s="2">
        <f>HYPERLINK("https://www.suredividend.com/sure-analysis-research-database/","LEXICON PHARMACEUTICALS, INC.")</f>
        <v>0</v>
      </c>
      <c r="C1051" s="1" t="s">
        <v>1965</v>
      </c>
      <c r="D1051" s="3">
        <v>1.56</v>
      </c>
      <c r="F1051" s="4">
        <v>0</v>
      </c>
      <c r="G1051" s="3">
        <v>0</v>
      </c>
      <c r="H1051" s="5">
        <v>566.901941</v>
      </c>
      <c r="J1051" s="4">
        <v>0</v>
      </c>
      <c r="K1051" s="7">
        <v>2.0807</v>
      </c>
      <c r="L1051" s="3">
        <v>1.66</v>
      </c>
      <c r="M1051" s="3">
        <v>0.28</v>
      </c>
    </row>
    <row r="1052" spans="1:13">
      <c r="A1052" s="8" t="s">
        <v>1063</v>
      </c>
      <c r="B1052" s="2">
        <f>HYPERLINK("https://www.suredividend.com/sure-analysis-research-database/","LSB INDUSTRIES, INC.")</f>
        <v>0</v>
      </c>
      <c r="C1052" s="1" t="s">
        <v>1970</v>
      </c>
      <c r="D1052" s="3">
        <v>10</v>
      </c>
      <c r="F1052" s="4">
        <v>0</v>
      </c>
      <c r="G1052" s="3">
        <v>0.02</v>
      </c>
      <c r="H1052" s="5">
        <v>716.56721</v>
      </c>
      <c r="J1052" s="4">
        <v>0</v>
      </c>
      <c r="K1052" s="7">
        <v>1.1154</v>
      </c>
      <c r="L1052" s="3">
        <v>10.04</v>
      </c>
      <c r="M1052" s="3">
        <v>4.88</v>
      </c>
    </row>
    <row r="1053" spans="1:13">
      <c r="A1053" s="8" t="s">
        <v>1064</v>
      </c>
      <c r="B1053" s="2">
        <f>HYPERLINK("https://www.suredividend.com/sure-analysis-research-database/","Lyell Immunopharma, Inc.")</f>
        <v>0</v>
      </c>
      <c r="C1053" s="1" t="s">
        <v>1959</v>
      </c>
      <c r="D1053" s="3">
        <v>24.15</v>
      </c>
      <c r="F1053" s="4">
        <v>0</v>
      </c>
      <c r="G1053" s="3">
        <v>0</v>
      </c>
      <c r="H1053" s="5">
        <v>511.783394</v>
      </c>
      <c r="J1053" s="4">
        <v>0</v>
      </c>
      <c r="K1053" s="7">
        <v>2.1655</v>
      </c>
      <c r="L1053" s="3">
        <v>45</v>
      </c>
      <c r="M1053" s="3">
        <v>7.65</v>
      </c>
    </row>
    <row r="1054" spans="1:13">
      <c r="A1054" s="8" t="s">
        <v>1065</v>
      </c>
      <c r="B1054" s="2">
        <f>HYPERLINK("https://www.suredividend.com/sure-analysis-research-database/","Lyra Therapeutics, Inc.")</f>
        <v>0</v>
      </c>
      <c r="C1054" s="1" t="s">
        <v>1959</v>
      </c>
      <c r="D1054" s="3">
        <v>2.28</v>
      </c>
      <c r="F1054" s="4">
        <v>0</v>
      </c>
      <c r="G1054" s="3">
        <v>0</v>
      </c>
      <c r="H1054" s="5">
        <v>3.993485</v>
      </c>
      <c r="J1054" s="4">
        <v>0</v>
      </c>
      <c r="K1054" s="7">
        <v>2.5241</v>
      </c>
      <c r="L1054" s="3">
        <v>37.5</v>
      </c>
      <c r="M1054" s="3">
        <v>1.63</v>
      </c>
    </row>
    <row r="1055" spans="1:13">
      <c r="A1055" s="8" t="s">
        <v>1066</v>
      </c>
      <c r="B1055" s="2">
        <f>HYPERLINK("https://www.suredividend.com/sure-analysis-research-database/","LSI INDUSTRIES INC")</f>
        <v>0</v>
      </c>
      <c r="C1055" s="1" t="s">
        <v>1960</v>
      </c>
      <c r="D1055" s="3">
        <v>21.45</v>
      </c>
      <c r="E1055" s="4">
        <v>0.01</v>
      </c>
      <c r="F1055" s="4">
        <v>0.01106</v>
      </c>
      <c r="G1055" s="3">
        <v>0.2</v>
      </c>
      <c r="H1055" s="5">
        <v>633.670979</v>
      </c>
      <c r="I1055" s="6">
        <v>25.3824</v>
      </c>
      <c r="J1055" s="4">
        <v>0.240897</v>
      </c>
      <c r="K1055" s="7">
        <v>0.983</v>
      </c>
      <c r="L1055" s="3">
        <v>25.24</v>
      </c>
      <c r="M1055" s="3">
        <v>13.66</v>
      </c>
    </row>
    <row r="1056" spans="1:13">
      <c r="A1056" s="8" t="s">
        <v>1067</v>
      </c>
      <c r="B1056" s="2">
        <f>HYPERLINK("https://www.suredividend.com/sure-analysis-research-database/","LEGALZOOM.COM, INC.")</f>
        <v>0</v>
      </c>
      <c r="C1056" s="1" t="s">
        <v>1959</v>
      </c>
      <c r="D1056" s="3">
        <v>8.6</v>
      </c>
      <c r="F1056" s="4">
        <v>0</v>
      </c>
      <c r="G1056" s="3">
        <v>1.44</v>
      </c>
      <c r="H1056" s="5">
        <v>1505.02449</v>
      </c>
      <c r="I1056" s="6">
        <v>67.72069999999999</v>
      </c>
      <c r="J1056" s="4">
        <v>0</v>
      </c>
      <c r="K1056" s="7">
        <v>1.0643</v>
      </c>
      <c r="L1056" s="3">
        <v>12.4</v>
      </c>
      <c r="M1056" s="3">
        <v>6.47</v>
      </c>
    </row>
    <row r="1057" spans="1:13">
      <c r="A1057" s="8" t="s">
        <v>1068</v>
      </c>
      <c r="B1057" s="2">
        <f>HYPERLINK("https://www.suredividend.com/sure-analysis-LZB/","LA-Z-BOY INC")</f>
        <v>0</v>
      </c>
      <c r="C1057" s="1" t="s">
        <v>1963</v>
      </c>
      <c r="D1057" s="3">
        <v>39.48</v>
      </c>
      <c r="E1057" s="4">
        <v>0.0245694022289767</v>
      </c>
      <c r="F1057" s="4">
        <v>0.01983</v>
      </c>
      <c r="G1057" s="3">
        <v>0.9</v>
      </c>
      <c r="H1057" s="5">
        <v>1631.396764</v>
      </c>
      <c r="I1057" s="6">
        <v>18.042</v>
      </c>
      <c r="J1057" s="4">
        <v>0.396945</v>
      </c>
      <c r="K1057" s="7">
        <v>0.6754</v>
      </c>
      <c r="L1057" s="3">
        <v>47.22</v>
      </c>
      <c r="M1057" s="3">
        <v>28.85</v>
      </c>
    </row>
    <row r="1058" spans="1:13">
      <c r="A1058" s="8" t="s">
        <v>1069</v>
      </c>
      <c r="B1058" s="2">
        <f>HYPERLINK("https://www.suredividend.com/sure-analysis-research-database/","Lifezone Metals Ltd")</f>
        <v>0</v>
      </c>
      <c r="C1058" s="1" t="s">
        <v>1959</v>
      </c>
      <c r="D1058" s="3">
        <v>5.715</v>
      </c>
      <c r="F1058" s="4">
        <v>0</v>
      </c>
      <c r="G1058" s="3">
        <v>0</v>
      </c>
      <c r="H1058" s="5">
        <v>534.88133</v>
      </c>
      <c r="J1058" s="4">
        <v>0</v>
      </c>
      <c r="K1058" s="7">
        <v>0.7948</v>
      </c>
      <c r="L1058" s="3">
        <v>6.59</v>
      </c>
      <c r="M1058" s="3">
        <v>2.9</v>
      </c>
    </row>
    <row r="1059" spans="1:13">
      <c r="A1059" s="8" t="s">
        <v>1070</v>
      </c>
      <c r="B1059" s="2">
        <f>HYPERLINK("https://www.suredividend.com/sure-analysis-research-database/","MACERICH CO")</f>
        <v>0</v>
      </c>
      <c r="C1059" s="1" t="s">
        <v>1961</v>
      </c>
      <c r="D1059" s="3">
        <v>18.595</v>
      </c>
      <c r="E1059" s="4">
        <v>0.04</v>
      </c>
      <c r="F1059" s="4">
        <v>0.03452</v>
      </c>
      <c r="G1059" s="3">
        <v>0.68</v>
      </c>
      <c r="H1059" s="5">
        <v>4763.796362</v>
      </c>
      <c r="K1059" s="7">
        <v>1.4772</v>
      </c>
      <c r="L1059" s="3">
        <v>20.33</v>
      </c>
      <c r="M1059" s="3">
        <v>12.12</v>
      </c>
    </row>
    <row r="1060" spans="1:13">
      <c r="A1060" s="8" t="s">
        <v>1071</v>
      </c>
      <c r="B1060" s="2">
        <f>HYPERLINK("https://www.suredividend.com/sure-analysis-research-database/","Mama's Creations, Inc.")</f>
        <v>0</v>
      </c>
      <c r="C1060" s="1" t="s">
        <v>1959</v>
      </c>
      <c r="D1060" s="3">
        <v>15.21</v>
      </c>
      <c r="F1060" s="4">
        <v>0</v>
      </c>
      <c r="G1060" s="3">
        <v>0</v>
      </c>
      <c r="H1060" s="5">
        <v>610.613062</v>
      </c>
      <c r="I1060" s="6">
        <v>131.2018</v>
      </c>
      <c r="J1060" s="4">
        <v>0</v>
      </c>
      <c r="K1060" s="7">
        <v>0.862</v>
      </c>
      <c r="L1060" s="3">
        <v>15.06</v>
      </c>
      <c r="M1060" s="3">
        <v>5.5</v>
      </c>
    </row>
    <row r="1061" spans="1:13">
      <c r="A1061" s="8" t="s">
        <v>1072</v>
      </c>
      <c r="B1061" s="2">
        <f>HYPERLINK("https://www.suredividend.com/sure-analysis-research-database/","WM TECHNOLOGY, INC.")</f>
        <v>0</v>
      </c>
      <c r="C1061" s="1" t="s">
        <v>1959</v>
      </c>
      <c r="D1061" s="3">
        <v>0.8497</v>
      </c>
      <c r="F1061" s="4">
        <v>0</v>
      </c>
      <c r="G1061" s="3">
        <v>0</v>
      </c>
      <c r="H1061" s="5">
        <v>132.800925</v>
      </c>
      <c r="I1061" s="6">
        <v>16.8422</v>
      </c>
      <c r="J1061" s="4">
        <v>0</v>
      </c>
      <c r="K1061" s="7">
        <v>1.3344</v>
      </c>
      <c r="L1061" s="3">
        <v>1.48</v>
      </c>
      <c r="M1061" s="3">
        <v>0.72</v>
      </c>
    </row>
    <row r="1062" spans="1:13">
      <c r="A1062" s="8" t="s">
        <v>1073</v>
      </c>
      <c r="B1062" s="2">
        <f>HYPERLINK("https://www.suredividend.com/sure-analysis-research-database/","MARA Holdings, Inc.")</f>
        <v>0</v>
      </c>
      <c r="C1062" s="1" t="s">
        <v>1962</v>
      </c>
      <c r="D1062" s="3">
        <v>10.7</v>
      </c>
      <c r="F1062" s="4">
        <v>0</v>
      </c>
      <c r="G1062" s="3">
        <v>0</v>
      </c>
      <c r="H1062" s="5">
        <v>3993.626768</v>
      </c>
      <c r="I1062" s="6">
        <v>4.3096</v>
      </c>
      <c r="J1062" s="4">
        <v>0</v>
      </c>
      <c r="K1062" s="7">
        <v>2.3278</v>
      </c>
      <c r="L1062" s="3">
        <v>23.45</v>
      </c>
      <c r="M1062" s="3">
        <v>8.949999999999999</v>
      </c>
    </row>
    <row r="1063" spans="1:13">
      <c r="A1063" s="8" t="s">
        <v>1074</v>
      </c>
      <c r="B1063" s="2">
        <f>HYPERLINK("https://www.suredividend.com/sure-analysis-research-database/","908 Devices Inc.")</f>
        <v>0</v>
      </c>
      <c r="C1063" s="1" t="s">
        <v>1959</v>
      </c>
      <c r="D1063" s="3">
        <v>6.74</v>
      </c>
      <c r="F1063" s="4">
        <v>0</v>
      </c>
      <c r="G1063" s="3">
        <v>0</v>
      </c>
      <c r="H1063" s="5">
        <v>243.578742</v>
      </c>
      <c r="J1063" s="4">
        <v>0</v>
      </c>
      <c r="K1063" s="7">
        <v>1.4168</v>
      </c>
      <c r="L1063" s="3">
        <v>9.34</v>
      </c>
      <c r="M1063" s="3">
        <v>1.92</v>
      </c>
    </row>
    <row r="1064" spans="1:13">
      <c r="A1064" s="8" t="s">
        <v>1075</v>
      </c>
      <c r="B1064" s="2">
        <f>HYPERLINK("https://www.suredividend.com/sure-analysis-research-database/","Mativ Holdings, Inc.")</f>
        <v>0</v>
      </c>
      <c r="C1064" s="1" t="s">
        <v>1959</v>
      </c>
      <c r="D1064" s="3">
        <v>12.57</v>
      </c>
      <c r="E1064" s="4">
        <v>0.03</v>
      </c>
      <c r="F1064" s="4">
        <v>0.08576</v>
      </c>
      <c r="G1064" s="3">
        <v>0.4</v>
      </c>
      <c r="H1064" s="5">
        <v>687.888414</v>
      </c>
      <c r="K1064" s="7">
        <v>1.4231</v>
      </c>
      <c r="L1064" s="3">
        <v>13.5</v>
      </c>
      <c r="M1064" s="3">
        <v>4.2</v>
      </c>
    </row>
    <row r="1065" spans="1:13">
      <c r="A1065" s="8" t="s">
        <v>1076</v>
      </c>
      <c r="B1065" s="2">
        <f>HYPERLINK("https://www.suredividend.com/sure-analysis-MATW/","MATTHEWS INTERNATIONAL CORP")</f>
        <v>0</v>
      </c>
      <c r="C1065" s="1" t="s">
        <v>1964</v>
      </c>
      <c r="D1065" s="3">
        <v>27.28</v>
      </c>
      <c r="E1065" s="4">
        <v>0.0373900293255132</v>
      </c>
      <c r="F1065" s="4">
        <v>0.03466</v>
      </c>
      <c r="G1065" s="3">
        <v>1</v>
      </c>
      <c r="H1065" s="5">
        <v>840.110624</v>
      </c>
      <c r="K1065" s="7">
        <v>1.038</v>
      </c>
      <c r="L1065" s="3">
        <v>30.23</v>
      </c>
      <c r="M1065" s="3">
        <v>17.89</v>
      </c>
    </row>
    <row r="1066" spans="1:13">
      <c r="A1066" s="8" t="s">
        <v>1077</v>
      </c>
      <c r="B1066" s="2">
        <f>HYPERLINK("https://www.suredividend.com/sure-analysis-MATX/","Matson, Inc.")</f>
        <v>0</v>
      </c>
      <c r="C1066" s="1" t="s">
        <v>1964</v>
      </c>
      <c r="D1066" s="3">
        <v>155.5</v>
      </c>
      <c r="E1066" s="4">
        <v>0.009260450160771703</v>
      </c>
      <c r="F1066" s="4">
        <v>0.009690000000000001</v>
      </c>
      <c r="G1066" s="3">
        <v>1.4</v>
      </c>
      <c r="H1066" s="5">
        <v>4855.04325</v>
      </c>
      <c r="I1066" s="6">
        <v>11.2987</v>
      </c>
      <c r="J1066" s="4">
        <v>0.104724</v>
      </c>
      <c r="K1066" s="7">
        <v>0.965</v>
      </c>
      <c r="L1066" s="3">
        <v>157.8</v>
      </c>
      <c r="M1066" s="3">
        <v>86.68000000000001</v>
      </c>
    </row>
    <row r="1067" spans="1:13">
      <c r="A1067" s="8" t="s">
        <v>1078</v>
      </c>
      <c r="B1067" s="2">
        <f>HYPERLINK("https://www.suredividend.com/sure-analysis-research-database/","MediaAlpha, Inc.")</f>
        <v>0</v>
      </c>
      <c r="C1067" s="1" t="s">
        <v>1959</v>
      </c>
      <c r="D1067" s="3">
        <v>11.05</v>
      </c>
      <c r="F1067" s="4">
        <v>0</v>
      </c>
      <c r="G1067" s="3">
        <v>0</v>
      </c>
      <c r="H1067" s="5">
        <v>720.80055</v>
      </c>
      <c r="J1067" s="4">
        <v>12.363636</v>
      </c>
      <c r="K1067" s="7">
        <v>1.153</v>
      </c>
      <c r="L1067" s="3">
        <v>13.92</v>
      </c>
      <c r="M1067" s="3">
        <v>7.33</v>
      </c>
    </row>
    <row r="1068" spans="1:13">
      <c r="A1068" s="8" t="s">
        <v>1079</v>
      </c>
      <c r="B1068" s="2">
        <f>HYPERLINK("https://www.suredividend.com/sure-analysis-research-database/","Maze Therapeutics Inc.")</f>
        <v>0</v>
      </c>
      <c r="C1068" s="1" t="s">
        <v>1959</v>
      </c>
      <c r="D1068" s="3">
        <v>44.8</v>
      </c>
      <c r="F1068" s="4">
        <v>0</v>
      </c>
      <c r="G1068" s="3">
        <v>0</v>
      </c>
      <c r="H1068" s="5">
        <v>2000.567515</v>
      </c>
      <c r="K1068" s="7">
        <v>0.8917</v>
      </c>
      <c r="L1068" s="3">
        <v>45</v>
      </c>
      <c r="M1068" s="3">
        <v>6.71</v>
      </c>
    </row>
    <row r="1069" spans="1:13">
      <c r="A1069" s="8" t="s">
        <v>1080</v>
      </c>
      <c r="B1069" s="2">
        <f>HYPERLINK("https://www.suredividend.com/sure-analysis-research-database/","MasterBrand, Inc.")</f>
        <v>0</v>
      </c>
      <c r="C1069" s="1" t="s">
        <v>1959</v>
      </c>
      <c r="D1069" s="3">
        <v>12.98</v>
      </c>
      <c r="F1069" s="4">
        <v>0</v>
      </c>
      <c r="G1069" s="3">
        <v>0</v>
      </c>
      <c r="H1069" s="5">
        <v>1662.9798</v>
      </c>
      <c r="I1069" s="6">
        <v>20.1086</v>
      </c>
      <c r="J1069" s="4">
        <v>0</v>
      </c>
      <c r="K1069" s="7">
        <v>1.2453</v>
      </c>
      <c r="L1069" s="3">
        <v>18.15</v>
      </c>
      <c r="M1069" s="3">
        <v>9.33</v>
      </c>
    </row>
    <row r="1070" spans="1:13">
      <c r="A1070" s="8" t="s">
        <v>1081</v>
      </c>
      <c r="B1070" s="2">
        <f>HYPERLINK("https://www.suredividend.com/sure-analysis-research-database/","MIDDLEFIELD BANC CORP")</f>
        <v>0</v>
      </c>
      <c r="C1070" s="1" t="s">
        <v>1962</v>
      </c>
      <c r="D1070" s="3">
        <v>35.77</v>
      </c>
      <c r="E1070" s="4">
        <v>0.02</v>
      </c>
      <c r="F1070" s="4">
        <v>0.02245</v>
      </c>
      <c r="G1070" s="3">
        <v>0.84</v>
      </c>
      <c r="H1070" s="5">
        <v>289.348781</v>
      </c>
      <c r="I1070" s="6">
        <v>13.6776</v>
      </c>
      <c r="J1070" s="4">
        <v>0.317088</v>
      </c>
      <c r="K1070" s="7">
        <v>0.8691</v>
      </c>
      <c r="L1070" s="3">
        <v>37.68</v>
      </c>
      <c r="M1070" s="3">
        <v>22.29</v>
      </c>
    </row>
    <row r="1071" spans="1:13">
      <c r="A1071" s="8" t="s">
        <v>1082</v>
      </c>
      <c r="B1071" s="2">
        <f>HYPERLINK("https://www.suredividend.com/sure-analysis-research-database/","MBIA INC")</f>
        <v>0</v>
      </c>
      <c r="C1071" s="1" t="s">
        <v>1962</v>
      </c>
      <c r="D1071" s="3">
        <v>6.64</v>
      </c>
      <c r="F1071" s="4">
        <v>0.23529</v>
      </c>
      <c r="G1071" s="3">
        <v>8</v>
      </c>
      <c r="H1071" s="5">
        <v>335.782613</v>
      </c>
      <c r="J1071" s="4">
        <v>0</v>
      </c>
      <c r="K1071" s="7">
        <v>0.8391999999999999</v>
      </c>
      <c r="L1071" s="3">
        <v>8.26</v>
      </c>
      <c r="M1071" s="3">
        <v>3.86</v>
      </c>
    </row>
    <row r="1072" spans="1:13">
      <c r="A1072" s="8" t="s">
        <v>1083</v>
      </c>
      <c r="B1072" s="2">
        <f>HYPERLINK("https://www.suredividend.com/sure-analysis-MBIN/","Merchants Bancorp")</f>
        <v>0</v>
      </c>
      <c r="C1072" s="1" t="s">
        <v>1962</v>
      </c>
      <c r="D1072" s="3">
        <v>35.72</v>
      </c>
      <c r="E1072" s="4">
        <v>0.01119820828667413</v>
      </c>
      <c r="F1072" s="4">
        <v>0.00908</v>
      </c>
      <c r="G1072" s="3">
        <v>0.4</v>
      </c>
      <c r="H1072" s="5">
        <v>1640.081366</v>
      </c>
      <c r="I1072" s="6">
        <v>8.213100000000001</v>
      </c>
      <c r="J1072" s="4">
        <v>0.240925</v>
      </c>
      <c r="K1072" s="7">
        <v>1.0106</v>
      </c>
      <c r="L1072" s="3">
        <v>43.31</v>
      </c>
      <c r="M1072" s="3">
        <v>27.01</v>
      </c>
    </row>
    <row r="1073" spans="1:13">
      <c r="A1073" s="8" t="s">
        <v>1084</v>
      </c>
      <c r="B1073" s="2">
        <f>HYPERLINK("https://www.suredividend.com/sure-analysis-research-database/","MALIBU BOATS, INC.")</f>
        <v>0</v>
      </c>
      <c r="C1073" s="1" t="s">
        <v>1963</v>
      </c>
      <c r="D1073" s="3">
        <v>33.65</v>
      </c>
      <c r="F1073" s="4">
        <v>0</v>
      </c>
      <c r="G1073" s="3">
        <v>0</v>
      </c>
      <c r="H1073" s="5">
        <v>647.551753</v>
      </c>
      <c r="I1073" s="6">
        <v>33.6828</v>
      </c>
      <c r="J1073" s="4">
        <v>0</v>
      </c>
      <c r="K1073" s="7">
        <v>0.952</v>
      </c>
      <c r="L1073" s="3">
        <v>42.49</v>
      </c>
      <c r="M1073" s="3">
        <v>24.07</v>
      </c>
    </row>
    <row r="1074" spans="1:13">
      <c r="A1074" s="8" t="s">
        <v>1085</v>
      </c>
      <c r="B1074" s="2">
        <f>HYPERLINK("https://www.suredividend.com/sure-analysis-MBWM/","MERCANTILE BANK CORP")</f>
        <v>0</v>
      </c>
      <c r="C1074" s="1" t="s">
        <v>1962</v>
      </c>
      <c r="D1074" s="3">
        <v>53.61</v>
      </c>
      <c r="E1074" s="4">
        <v>0.02835291923148666</v>
      </c>
      <c r="F1074" s="4">
        <v>0.02748</v>
      </c>
      <c r="G1074" s="3">
        <v>1.5</v>
      </c>
      <c r="H1074" s="5">
        <v>870.38028</v>
      </c>
      <c r="I1074" s="6">
        <v>10.1751</v>
      </c>
      <c r="J1074" s="4">
        <v>0.275684</v>
      </c>
      <c r="K1074" s="7">
        <v>0.894</v>
      </c>
      <c r="L1074" s="3">
        <v>51.07</v>
      </c>
      <c r="M1074" s="3">
        <v>36.85</v>
      </c>
    </row>
    <row r="1075" spans="1:13">
      <c r="A1075" s="8" t="s">
        <v>1086</v>
      </c>
      <c r="B1075" s="2">
        <f>HYPERLINK("https://www.suredividend.com/sure-analysis-research-database/","MBX Biosciences, Inc.")</f>
        <v>0</v>
      </c>
      <c r="C1075" s="1" t="s">
        <v>1959</v>
      </c>
      <c r="D1075" s="3">
        <v>41.1</v>
      </c>
      <c r="F1075" s="4">
        <v>0</v>
      </c>
      <c r="G1075" s="3">
        <v>0</v>
      </c>
      <c r="H1075" s="5">
        <v>1405.220351</v>
      </c>
      <c r="J1075" s="4">
        <v>0</v>
      </c>
      <c r="K1075" s="7">
        <v>2.2202</v>
      </c>
      <c r="L1075" s="3">
        <v>44.89</v>
      </c>
      <c r="M1075" s="3">
        <v>4.81</v>
      </c>
    </row>
    <row r="1076" spans="1:13">
      <c r="A1076" s="8" t="s">
        <v>1087</v>
      </c>
      <c r="B1076" s="2">
        <f>HYPERLINK("https://www.suredividend.com/sure-analysis-research-database/","Moelis &amp; Co")</f>
        <v>0</v>
      </c>
      <c r="C1076" s="1" t="s">
        <v>1962</v>
      </c>
      <c r="D1076" s="3">
        <v>76.73</v>
      </c>
      <c r="E1076" s="4">
        <v>0.03</v>
      </c>
      <c r="F1076" s="4">
        <v>0.03316</v>
      </c>
      <c r="G1076" s="3">
        <v>2.6</v>
      </c>
      <c r="H1076" s="5">
        <v>6007.985269</v>
      </c>
      <c r="I1076" s="6">
        <v>25.6127</v>
      </c>
      <c r="J1076" s="4">
        <v>0.7735919999999999</v>
      </c>
      <c r="K1076" s="7">
        <v>1.5134</v>
      </c>
      <c r="L1076" s="3">
        <v>79.62</v>
      </c>
      <c r="M1076" s="3">
        <v>45.53</v>
      </c>
    </row>
    <row r="1077" spans="1:13">
      <c r="A1077" s="8" t="s">
        <v>1088</v>
      </c>
      <c r="B1077" s="2">
        <f>HYPERLINK("https://www.suredividend.com/sure-analysis-research-database/","Metropolitan Bank Holding Corp.")</f>
        <v>0</v>
      </c>
      <c r="C1077" s="1" t="s">
        <v>1962</v>
      </c>
      <c r="D1077" s="3">
        <v>90.72</v>
      </c>
      <c r="F1077" s="4">
        <v>0.00075</v>
      </c>
      <c r="G1077" s="3">
        <v>0.3</v>
      </c>
      <c r="H1077" s="5">
        <v>934.131761</v>
      </c>
      <c r="I1077" s="6">
        <v>13.8741</v>
      </c>
      <c r="J1077" s="4">
        <v>0</v>
      </c>
      <c r="K1077" s="7">
        <v>1.2586</v>
      </c>
      <c r="L1077" s="3">
        <v>83.48</v>
      </c>
      <c r="M1077" s="3">
        <v>46.88</v>
      </c>
    </row>
    <row r="1078" spans="1:13">
      <c r="A1078" s="8" t="s">
        <v>1089</v>
      </c>
      <c r="B1078" s="2">
        <f>HYPERLINK("https://www.suredividend.com/sure-analysis-MCBS/","MetroCity Bankshares, Inc.")</f>
        <v>0</v>
      </c>
      <c r="C1078" s="1" t="s">
        <v>1962</v>
      </c>
      <c r="D1078" s="3">
        <v>28.5</v>
      </c>
      <c r="E1078" s="4">
        <v>0.03508771929824561</v>
      </c>
      <c r="F1078" s="4">
        <v>0.02705</v>
      </c>
      <c r="G1078" s="3">
        <v>0.96</v>
      </c>
      <c r="H1078" s="5">
        <v>725.689225</v>
      </c>
      <c r="I1078" s="6">
        <v>10.8917</v>
      </c>
      <c r="J1078" s="4">
        <v>0.365987</v>
      </c>
      <c r="K1078" s="7">
        <v>0.9797</v>
      </c>
      <c r="L1078" s="3">
        <v>31.71</v>
      </c>
      <c r="M1078" s="3">
        <v>23.61</v>
      </c>
    </row>
    <row r="1079" spans="1:13">
      <c r="A1079" s="8" t="s">
        <v>1090</v>
      </c>
      <c r="B1079" s="2">
        <f>HYPERLINK("https://www.suredividend.com/sure-analysis-research-database/","MasterCraft Boat Holdings, Inc.")</f>
        <v>0</v>
      </c>
      <c r="C1079" s="1" t="s">
        <v>1963</v>
      </c>
      <c r="D1079" s="3">
        <v>22.25</v>
      </c>
      <c r="F1079" s="4">
        <v>0</v>
      </c>
      <c r="G1079" s="3">
        <v>4.3</v>
      </c>
      <c r="H1079" s="5">
        <v>362.751531</v>
      </c>
      <c r="I1079" s="6">
        <v>21.904</v>
      </c>
      <c r="J1079" s="4">
        <v>0</v>
      </c>
      <c r="K1079" s="7">
        <v>1.0096</v>
      </c>
      <c r="L1079" s="3">
        <v>23.94</v>
      </c>
      <c r="M1079" s="3">
        <v>14.39</v>
      </c>
    </row>
    <row r="1080" spans="1:13">
      <c r="A1080" s="8" t="s">
        <v>1091</v>
      </c>
      <c r="B1080" s="2">
        <f>HYPERLINK("https://www.suredividend.com/sure-analysis-research-database/","MONARCH CASINO &amp; RESORT INC")</f>
        <v>0</v>
      </c>
      <c r="C1080" s="1" t="s">
        <v>1963</v>
      </c>
      <c r="D1080" s="3">
        <v>90.53</v>
      </c>
      <c r="E1080" s="4">
        <v>0.01</v>
      </c>
      <c r="F1080" s="4">
        <v>0.01765</v>
      </c>
      <c r="G1080" s="3">
        <v>1.2</v>
      </c>
      <c r="H1080" s="5">
        <v>1652.746353</v>
      </c>
      <c r="I1080" s="6">
        <v>19.9948</v>
      </c>
      <c r="J1080" s="4">
        <v>0.266867</v>
      </c>
      <c r="K1080" s="7">
        <v>0.7702</v>
      </c>
      <c r="L1080" s="3">
        <v>113.2</v>
      </c>
      <c r="M1080" s="3">
        <v>69.33</v>
      </c>
    </row>
    <row r="1081" spans="1:13">
      <c r="A1081" s="8" t="s">
        <v>1092</v>
      </c>
      <c r="B1081" s="2">
        <f>HYPERLINK("https://www.suredividend.com/sure-analysis-research-database/","MARCUS CORP")</f>
        <v>0</v>
      </c>
      <c r="C1081" s="1" t="s">
        <v>1968</v>
      </c>
      <c r="D1081" s="3">
        <v>15.9</v>
      </c>
      <c r="E1081" s="4">
        <v>0.02</v>
      </c>
      <c r="F1081" s="4">
        <v>0.01219</v>
      </c>
      <c r="G1081" s="3">
        <v>0.3</v>
      </c>
      <c r="H1081" s="5">
        <v>488.655842</v>
      </c>
      <c r="I1081" s="6">
        <v>63.2892</v>
      </c>
      <c r="J1081" s="4">
        <v>1.156068</v>
      </c>
      <c r="K1081" s="7">
        <v>0.6118</v>
      </c>
      <c r="L1081" s="3">
        <v>21.98</v>
      </c>
      <c r="M1081" s="3">
        <v>12.78</v>
      </c>
    </row>
    <row r="1082" spans="1:13">
      <c r="A1082" s="8" t="s">
        <v>1093</v>
      </c>
      <c r="B1082" s="2">
        <f>HYPERLINK("https://www.suredividend.com/sure-analysis-research-database/","Mister Car Wash, Inc.")</f>
        <v>0</v>
      </c>
      <c r="C1082" s="1" t="s">
        <v>1959</v>
      </c>
      <c r="D1082" s="3">
        <v>5.895</v>
      </c>
      <c r="F1082" s="4">
        <v>0</v>
      </c>
      <c r="G1082" s="3">
        <v>0</v>
      </c>
      <c r="H1082" s="5">
        <v>1929.377705</v>
      </c>
      <c r="I1082" s="6">
        <v>20.9317</v>
      </c>
      <c r="J1082" s="4">
        <v>0</v>
      </c>
      <c r="K1082" s="7">
        <v>1.3817</v>
      </c>
      <c r="L1082" s="3">
        <v>8.6</v>
      </c>
      <c r="M1082" s="3">
        <v>4.61</v>
      </c>
    </row>
    <row r="1083" spans="1:13">
      <c r="A1083" s="8" t="s">
        <v>1094</v>
      </c>
      <c r="B1083" s="2">
        <f>HYPERLINK("https://www.suredividend.com/sure-analysis-research-database/","MERCURY GENERAL CORP")</f>
        <v>0</v>
      </c>
      <c r="C1083" s="1" t="s">
        <v>1962</v>
      </c>
      <c r="D1083" s="3">
        <v>88.55</v>
      </c>
      <c r="E1083" s="4">
        <v>0.01</v>
      </c>
      <c r="F1083" s="4">
        <v>0.01869</v>
      </c>
      <c r="G1083" s="3">
        <v>1.27</v>
      </c>
      <c r="H1083" s="5">
        <v>4907.432352</v>
      </c>
      <c r="I1083" s="6">
        <v>11.163</v>
      </c>
      <c r="J1083" s="4">
        <v>0.160008</v>
      </c>
      <c r="K1083" s="7">
        <v>0.873</v>
      </c>
      <c r="L1083" s="3">
        <v>96.5</v>
      </c>
      <c r="M1083" s="3">
        <v>45.96</v>
      </c>
    </row>
    <row r="1084" spans="1:13">
      <c r="A1084" s="8" t="s">
        <v>1095</v>
      </c>
      <c r="B1084" s="2">
        <f>HYPERLINK("https://www.suredividend.com/sure-analysis-research-database/","Pediatrix Medical Group, Inc.")</f>
        <v>0</v>
      </c>
      <c r="C1084" s="1" t="s">
        <v>1965</v>
      </c>
      <c r="D1084" s="3">
        <v>22.07</v>
      </c>
      <c r="F1084" s="4">
        <v>0</v>
      </c>
      <c r="G1084" s="3">
        <v>0</v>
      </c>
      <c r="H1084" s="5">
        <v>1895.313909</v>
      </c>
      <c r="I1084" s="6">
        <v>11.6268</v>
      </c>
      <c r="J1084" s="4">
        <v>0</v>
      </c>
      <c r="K1084" s="7">
        <v>0.3738</v>
      </c>
      <c r="L1084" s="3">
        <v>24.99</v>
      </c>
      <c r="M1084" s="3">
        <v>11.84</v>
      </c>
    </row>
    <row r="1085" spans="1:13">
      <c r="A1085" s="8" t="s">
        <v>1096</v>
      </c>
      <c r="B1085" s="2">
        <f>HYPERLINK("https://www.suredividend.com/sure-analysis-research-database/","MADRIGAL PHARMACEUTICALS, INC.")</f>
        <v>0</v>
      </c>
      <c r="C1085" s="1" t="s">
        <v>1965</v>
      </c>
      <c r="D1085" s="3">
        <v>491.01</v>
      </c>
      <c r="F1085" s="4">
        <v>0</v>
      </c>
      <c r="G1085" s="3">
        <v>0</v>
      </c>
      <c r="H1085" s="5">
        <v>11286.894397</v>
      </c>
      <c r="J1085" s="4">
        <v>0</v>
      </c>
      <c r="K1085" s="7">
        <v>0.9048</v>
      </c>
      <c r="L1085" s="3">
        <v>615</v>
      </c>
      <c r="M1085" s="3">
        <v>265</v>
      </c>
    </row>
    <row r="1086" spans="1:13">
      <c r="A1086" s="8" t="s">
        <v>1097</v>
      </c>
      <c r="B1086" s="2">
        <f>HYPERLINK("https://www.suredividend.com/sure-analysis-research-database/","MediWound Ltd.")</f>
        <v>0</v>
      </c>
      <c r="C1086" s="1" t="s">
        <v>1965</v>
      </c>
      <c r="D1086" s="3">
        <v>17.05</v>
      </c>
      <c r="F1086" s="4">
        <v>0</v>
      </c>
      <c r="G1086" s="3">
        <v>0</v>
      </c>
      <c r="H1086" s="5">
        <v>184.237483</v>
      </c>
      <c r="J1086" s="4">
        <v>0</v>
      </c>
      <c r="K1086" s="7">
        <v>1.0825</v>
      </c>
      <c r="L1086" s="3">
        <v>22.51</v>
      </c>
      <c r="M1086" s="3">
        <v>14.14</v>
      </c>
    </row>
    <row r="1087" spans="1:13">
      <c r="A1087" s="8" t="s">
        <v>1098</v>
      </c>
      <c r="B1087" s="2">
        <f>HYPERLINK("https://www.suredividend.com/sure-analysis-research-database/","MIMEDX GROUP, INC.")</f>
        <v>0</v>
      </c>
      <c r="C1087" s="1" t="s">
        <v>1965</v>
      </c>
      <c r="D1087" s="3">
        <v>5.49</v>
      </c>
      <c r="F1087" s="4">
        <v>0</v>
      </c>
      <c r="G1087" s="3">
        <v>0</v>
      </c>
      <c r="H1087" s="5">
        <v>789.384507</v>
      </c>
      <c r="I1087" s="6">
        <v>19.3349</v>
      </c>
      <c r="J1087" s="4">
        <v>0</v>
      </c>
      <c r="K1087" s="7">
        <v>0.653</v>
      </c>
      <c r="L1087" s="3">
        <v>9.359999999999999</v>
      </c>
      <c r="M1087" s="3">
        <v>5.13</v>
      </c>
    </row>
    <row r="1088" spans="1:13">
      <c r="A1088" s="8" t="s">
        <v>1099</v>
      </c>
      <c r="B1088" s="2">
        <f>HYPERLINK("https://www.suredividend.com/sure-analysis-research-database/","Mayville Engineering Company, Inc.")</f>
        <v>0</v>
      </c>
      <c r="C1088" s="1" t="s">
        <v>1964</v>
      </c>
      <c r="D1088" s="3">
        <v>18.23</v>
      </c>
      <c r="F1088" s="4">
        <v>0</v>
      </c>
      <c r="G1088" s="3">
        <v>0</v>
      </c>
      <c r="H1088" s="5">
        <v>370.403885</v>
      </c>
      <c r="I1088" s="6">
        <v>30.3138</v>
      </c>
      <c r="J1088" s="4">
        <v>0</v>
      </c>
      <c r="K1088" s="7">
        <v>0.8912</v>
      </c>
      <c r="L1088" s="3">
        <v>19.82</v>
      </c>
      <c r="M1088" s="3">
        <v>11.72</v>
      </c>
    </row>
    <row r="1089" spans="1:13">
      <c r="A1089" s="8" t="s">
        <v>1100</v>
      </c>
      <c r="B1089" s="2">
        <f>HYPERLINK("https://www.suredividend.com/sure-analysis-research-database/","MEDIFAST INC")</f>
        <v>0</v>
      </c>
      <c r="C1089" s="1" t="s">
        <v>1963</v>
      </c>
      <c r="D1089" s="3">
        <v>11.79</v>
      </c>
      <c r="F1089" s="4">
        <v>0.32161</v>
      </c>
      <c r="G1089" s="3">
        <v>6.59</v>
      </c>
      <c r="H1089" s="5">
        <v>129.697021</v>
      </c>
      <c r="I1089" s="6">
        <v>525.0892</v>
      </c>
      <c r="J1089" s="4">
        <v>0.789474</v>
      </c>
      <c r="K1089" s="7">
        <v>0.652</v>
      </c>
      <c r="L1089" s="3">
        <v>16.66</v>
      </c>
      <c r="M1089" s="3">
        <v>10.1</v>
      </c>
    </row>
    <row r="1090" spans="1:13">
      <c r="A1090" s="8" t="s">
        <v>1101</v>
      </c>
      <c r="B1090" s="2">
        <f>HYPERLINK("https://www.suredividend.com/sure-analysis-research-database/","Montrose Environmental Group, Inc.")</f>
        <v>0</v>
      </c>
      <c r="C1090" s="1" t="s">
        <v>1959</v>
      </c>
      <c r="D1090" s="3">
        <v>22.25</v>
      </c>
      <c r="F1090" s="4">
        <v>0</v>
      </c>
      <c r="G1090" s="3">
        <v>0</v>
      </c>
      <c r="H1090" s="5">
        <v>785.909714</v>
      </c>
      <c r="K1090" s="7">
        <v>1.3816</v>
      </c>
      <c r="L1090" s="3">
        <v>32</v>
      </c>
      <c r="M1090" s="3">
        <v>10.51</v>
      </c>
    </row>
    <row r="1091" spans="1:13">
      <c r="A1091" s="8" t="s">
        <v>1102</v>
      </c>
      <c r="B1091" s="2">
        <f>HYPERLINK("https://www.suredividend.com/sure-analysis-research-database/","METHODE ELECTRONICS INC")</f>
        <v>0</v>
      </c>
      <c r="C1091" s="1" t="s">
        <v>1960</v>
      </c>
      <c r="D1091" s="3">
        <v>7.54</v>
      </c>
      <c r="E1091" s="4">
        <v>0.04</v>
      </c>
      <c r="F1091" s="4">
        <v>0.07457</v>
      </c>
      <c r="G1091" s="3">
        <v>0.31</v>
      </c>
      <c r="H1091" s="5">
        <v>267.33228</v>
      </c>
      <c r="K1091" s="7">
        <v>1.8614</v>
      </c>
      <c r="L1091" s="3">
        <v>12.67</v>
      </c>
      <c r="M1091" s="3">
        <v>4.84</v>
      </c>
    </row>
    <row r="1092" spans="1:13">
      <c r="A1092" s="8" t="s">
        <v>1103</v>
      </c>
      <c r="B1092" s="2">
        <f>HYPERLINK("https://www.suredividend.com/sure-analysis-research-database/","Ramaco Resources, Inc.")</f>
        <v>0</v>
      </c>
      <c r="C1092" s="1" t="s">
        <v>1959</v>
      </c>
      <c r="D1092" s="3">
        <v>13.37</v>
      </c>
      <c r="E1092" s="4">
        <v>0.02</v>
      </c>
      <c r="F1092" s="4">
        <v>0.03382</v>
      </c>
      <c r="G1092" s="3">
        <v>0.76</v>
      </c>
      <c r="H1092" s="5">
        <v>1286.318042</v>
      </c>
      <c r="K1092" s="7">
        <v>0.3719</v>
      </c>
      <c r="L1092" s="3">
        <v>21.8</v>
      </c>
      <c r="M1092" s="3">
        <v>5.72</v>
      </c>
    </row>
    <row r="1093" spans="1:13">
      <c r="A1093" s="8" t="s">
        <v>1104</v>
      </c>
      <c r="B1093" s="2">
        <f>HYPERLINK("https://www.suredividend.com/sure-analysis-research-database/","")</f>
        <v>0</v>
      </c>
      <c r="C1093" s="1" t="s">
        <v>1959</v>
      </c>
      <c r="D1093" s="3">
        <v>0</v>
      </c>
      <c r="G1093" s="3">
        <v>0</v>
      </c>
    </row>
    <row r="1094" spans="1:13">
      <c r="A1094" s="8" t="s">
        <v>1105</v>
      </c>
      <c r="B1094" s="2">
        <f>HYPERLINK("https://www.suredividend.com/sure-analysis-research-database/","MFA FINANCIAL, INC.")</f>
        <v>0</v>
      </c>
      <c r="C1094" s="1" t="s">
        <v>1961</v>
      </c>
      <c r="D1094" s="3">
        <v>9.98</v>
      </c>
      <c r="E1094" s="4">
        <v>0.14</v>
      </c>
      <c r="F1094" s="4">
        <v>0.15784</v>
      </c>
      <c r="G1094" s="3">
        <v>1.44</v>
      </c>
      <c r="H1094" s="5">
        <v>1019.913116</v>
      </c>
      <c r="I1094" s="6">
        <v>11.2647</v>
      </c>
      <c r="J1094" s="4">
        <v>1.438854</v>
      </c>
      <c r="K1094" s="7">
        <v>0.8379</v>
      </c>
      <c r="L1094" s="3">
        <v>10.11</v>
      </c>
      <c r="M1094" s="3">
        <v>7</v>
      </c>
    </row>
    <row r="1095" spans="1:13">
      <c r="A1095" s="8" t="s">
        <v>1106</v>
      </c>
      <c r="B1095" s="2">
        <f>HYPERLINK("https://www.suredividend.com/sure-analysis-research-database/","MEDALLION FINANCIAL CORP")</f>
        <v>0</v>
      </c>
      <c r="C1095" s="1" t="s">
        <v>1962</v>
      </c>
      <c r="D1095" s="3">
        <v>10.13</v>
      </c>
      <c r="E1095" s="4">
        <v>0.05</v>
      </c>
      <c r="F1095" s="4">
        <v>0.02999</v>
      </c>
      <c r="G1095" s="3">
        <v>0.47</v>
      </c>
      <c r="H1095" s="5">
        <v>236.286265</v>
      </c>
      <c r="I1095" s="6">
        <v>5.7648</v>
      </c>
      <c r="J1095" s="4">
        <v>0.355814</v>
      </c>
      <c r="K1095" s="7">
        <v>0.7979000000000001</v>
      </c>
      <c r="L1095" s="3">
        <v>10.89</v>
      </c>
      <c r="M1095" s="3">
        <v>7.34</v>
      </c>
    </row>
    <row r="1096" spans="1:13">
      <c r="A1096" s="8" t="s">
        <v>1107</v>
      </c>
      <c r="B1096" s="2">
        <f>HYPERLINK("https://www.suredividend.com/sure-analysis-research-database/","Mistras Group, Inc.")</f>
        <v>0</v>
      </c>
      <c r="C1096" s="1" t="s">
        <v>1964</v>
      </c>
      <c r="D1096" s="3">
        <v>14.485</v>
      </c>
      <c r="F1096" s="4">
        <v>0</v>
      </c>
      <c r="G1096" s="3">
        <v>0</v>
      </c>
      <c r="H1096" s="5">
        <v>456.817255</v>
      </c>
      <c r="I1096" s="6">
        <v>25.194</v>
      </c>
      <c r="J1096" s="4">
        <v>0</v>
      </c>
      <c r="K1096" s="7">
        <v>0.9985000000000001</v>
      </c>
      <c r="L1096" s="3">
        <v>14.5</v>
      </c>
      <c r="M1096" s="3">
        <v>7.06</v>
      </c>
    </row>
    <row r="1097" spans="1:13">
      <c r="A1097" s="8" t="s">
        <v>1108</v>
      </c>
      <c r="B1097" s="2">
        <f>HYPERLINK("https://www.suredividend.com/sure-analysis-MGEE/","MGE ENERGY INC")</f>
        <v>0</v>
      </c>
      <c r="C1097" s="1" t="s">
        <v>1967</v>
      </c>
      <c r="D1097" s="3">
        <v>80.64</v>
      </c>
      <c r="E1097" s="4">
        <v>0.02356150793650794</v>
      </c>
      <c r="F1097" s="4">
        <v>0.02143</v>
      </c>
      <c r="G1097" s="3">
        <v>1.85</v>
      </c>
      <c r="H1097" s="5">
        <v>4347.285568</v>
      </c>
      <c r="I1097" s="6">
        <v>48.9014</v>
      </c>
      <c r="J1097" s="4">
        <v>0.914619</v>
      </c>
      <c r="K1097" s="7">
        <v>0.3944</v>
      </c>
      <c r="L1097" s="3">
        <v>93.31999999999999</v>
      </c>
      <c r="M1097" s="3">
        <v>76.47</v>
      </c>
    </row>
    <row r="1098" spans="1:13">
      <c r="A1098" s="8" t="s">
        <v>1109</v>
      </c>
      <c r="B1098" s="2">
        <f>HYPERLINK("https://www.suredividend.com/sure-analysis-research-database/","MAGNITE, INC.")</f>
        <v>0</v>
      </c>
      <c r="C1098" s="1" t="s">
        <v>1959</v>
      </c>
      <c r="D1098" s="3">
        <v>14.43</v>
      </c>
      <c r="F1098" s="4">
        <v>0</v>
      </c>
      <c r="G1098" s="3">
        <v>0</v>
      </c>
      <c r="H1098" s="5">
        <v>2052.728048</v>
      </c>
      <c r="I1098" s="6">
        <v>35.4102</v>
      </c>
      <c r="J1098" s="4">
        <v>0</v>
      </c>
      <c r="K1098" s="7">
        <v>2.0891</v>
      </c>
      <c r="L1098" s="3">
        <v>26.65</v>
      </c>
      <c r="M1098" s="3">
        <v>8.220000000000001</v>
      </c>
    </row>
    <row r="1099" spans="1:13">
      <c r="A1099" s="8" t="s">
        <v>1110</v>
      </c>
      <c r="B1099" s="2">
        <f>HYPERLINK("https://www.suredividend.com/sure-analysis-research-database/","MACROGENICS INC")</f>
        <v>0</v>
      </c>
      <c r="C1099" s="1" t="s">
        <v>1965</v>
      </c>
      <c r="D1099" s="3">
        <v>1.68</v>
      </c>
      <c r="F1099" s="4">
        <v>0</v>
      </c>
      <c r="G1099" s="3">
        <v>0</v>
      </c>
      <c r="H1099" s="5">
        <v>110.069846</v>
      </c>
      <c r="J1099" s="4">
        <v>0</v>
      </c>
      <c r="K1099" s="7">
        <v>2.0775</v>
      </c>
      <c r="L1099" s="3">
        <v>3.37</v>
      </c>
      <c r="M1099" s="3">
        <v>0.99</v>
      </c>
    </row>
    <row r="1100" spans="1:13">
      <c r="A1100" s="8" t="s">
        <v>1111</v>
      </c>
      <c r="B1100" s="2">
        <f>HYPERLINK("https://www.suredividend.com/sure-analysis-research-database/","MGP INGREDIENTS INC")</f>
        <v>0</v>
      </c>
      <c r="C1100" s="1" t="s">
        <v>1966</v>
      </c>
      <c r="D1100" s="3">
        <v>25.99</v>
      </c>
      <c r="E1100" s="4">
        <v>0.02</v>
      </c>
      <c r="F1100" s="4">
        <v>0.0197</v>
      </c>
      <c r="G1100" s="3">
        <v>0.48</v>
      </c>
      <c r="H1100" s="5">
        <v>530.867273</v>
      </c>
      <c r="K1100" s="7">
        <v>0.7814</v>
      </c>
      <c r="L1100" s="3">
        <v>37.49</v>
      </c>
      <c r="M1100" s="3">
        <v>21.67</v>
      </c>
    </row>
    <row r="1101" spans="1:13">
      <c r="A1101" s="8" t="s">
        <v>1112</v>
      </c>
      <c r="B1101" s="2">
        <f>HYPERLINK("https://www.suredividend.com/sure-analysis-MGRC/","MCGRATH RENTCORP")</f>
        <v>0</v>
      </c>
      <c r="C1101" s="1" t="s">
        <v>1964</v>
      </c>
      <c r="D1101" s="3">
        <v>112.93</v>
      </c>
      <c r="E1101" s="4">
        <v>0.01717878331709909</v>
      </c>
      <c r="F1101" s="4">
        <v>0.01706</v>
      </c>
      <c r="G1101" s="3">
        <v>1.94</v>
      </c>
      <c r="H1101" s="5">
        <v>2778.902192</v>
      </c>
      <c r="I1101" s="6">
        <v>19.1091</v>
      </c>
      <c r="J1101" s="4">
        <v>0.327472</v>
      </c>
      <c r="K1101" s="7">
        <v>0.6966</v>
      </c>
      <c r="L1101" s="3">
        <v>127.71</v>
      </c>
      <c r="M1101" s="3">
        <v>94.58</v>
      </c>
    </row>
    <row r="1102" spans="1:13">
      <c r="A1102" s="8" t="s">
        <v>1113</v>
      </c>
      <c r="B1102" s="2">
        <f>HYPERLINK("https://www.suredividend.com/sure-analysis-research-database/","MeiraGTx Holdings plc")</f>
        <v>0</v>
      </c>
      <c r="C1102" s="1" t="s">
        <v>1965</v>
      </c>
      <c r="D1102" s="3">
        <v>7.48</v>
      </c>
      <c r="F1102" s="4">
        <v>0</v>
      </c>
      <c r="G1102" s="3">
        <v>0</v>
      </c>
      <c r="H1102" s="5">
        <v>614.145483</v>
      </c>
      <c r="J1102" s="4">
        <v>0</v>
      </c>
      <c r="K1102" s="7">
        <v>2.0671</v>
      </c>
      <c r="L1102" s="3">
        <v>9.73</v>
      </c>
      <c r="M1102" s="3">
        <v>4.55</v>
      </c>
    </row>
    <row r="1103" spans="1:13">
      <c r="A1103" s="8" t="s">
        <v>1114</v>
      </c>
      <c r="B1103" s="2">
        <f>HYPERLINK("https://www.suredividend.com/sure-analysis-research-database/","Metagenomi, Inc.")</f>
        <v>0</v>
      </c>
      <c r="C1103" s="1" t="s">
        <v>1959</v>
      </c>
      <c r="D1103" s="3">
        <v>1.65</v>
      </c>
      <c r="F1103" s="4">
        <v>0</v>
      </c>
      <c r="G1103" s="3">
        <v>0</v>
      </c>
      <c r="H1103" s="5">
        <v>61.179012</v>
      </c>
      <c r="J1103" s="4">
        <v>0</v>
      </c>
      <c r="K1103" s="7">
        <v>1.0048</v>
      </c>
      <c r="L1103" s="3">
        <v>4</v>
      </c>
      <c r="M1103" s="3">
        <v>1.23</v>
      </c>
    </row>
    <row r="1104" spans="1:13">
      <c r="A1104" s="8" t="s">
        <v>1115</v>
      </c>
      <c r="B1104" s="2">
        <f>HYPERLINK("https://www.suredividend.com/sure-analysis-research-database/","Magnolia Oil &amp; Gas Corp")</f>
        <v>0</v>
      </c>
      <c r="C1104" s="1" t="s">
        <v>1969</v>
      </c>
      <c r="D1104" s="3">
        <v>23.53</v>
      </c>
      <c r="E1104" s="4">
        <v>0.03</v>
      </c>
      <c r="F1104" s="4">
        <v>0.01917</v>
      </c>
      <c r="G1104" s="3">
        <v>0.6</v>
      </c>
      <c r="H1104" s="5">
        <v>4477.281931</v>
      </c>
      <c r="I1104" s="6">
        <v>13.0877</v>
      </c>
      <c r="J1104" s="4">
        <v>0.311426</v>
      </c>
      <c r="K1104" s="7">
        <v>0.7897</v>
      </c>
      <c r="L1104" s="3">
        <v>25.78</v>
      </c>
      <c r="M1104" s="3">
        <v>18.71</v>
      </c>
    </row>
    <row r="1105" spans="1:13">
      <c r="A1105" s="8" t="s">
        <v>1116</v>
      </c>
      <c r="B1105" s="2">
        <f>HYPERLINK("https://www.suredividend.com/sure-analysis-research-database/","Maiden Holdings, Ltd.")</f>
        <v>0</v>
      </c>
      <c r="C1105" s="1" t="s">
        <v>1962</v>
      </c>
      <c r="D1105" s="3">
        <v>8.84</v>
      </c>
      <c r="F1105" s="4">
        <v>0</v>
      </c>
      <c r="G1105" s="3">
        <v>0.5</v>
      </c>
      <c r="H1105" s="5">
        <v>114.635116</v>
      </c>
      <c r="J1105" s="4">
        <v>0</v>
      </c>
      <c r="K1105" s="7">
        <v>1.0691</v>
      </c>
    </row>
    <row r="1106" spans="1:13">
      <c r="A1106" s="8" t="s">
        <v>1117</v>
      </c>
      <c r="B1106" s="2">
        <f>HYPERLINK("https://www.suredividend.com/sure-analysis-research-database/","M/I HOMES, INC.")</f>
        <v>0</v>
      </c>
      <c r="C1106" s="1" t="s">
        <v>1963</v>
      </c>
      <c r="D1106" s="3">
        <v>139.12</v>
      </c>
      <c r="F1106" s="4">
        <v>0</v>
      </c>
      <c r="G1106" s="3">
        <v>0.1</v>
      </c>
      <c r="H1106" s="5">
        <v>3617.64622</v>
      </c>
      <c r="I1106" s="6">
        <v>7.6574</v>
      </c>
      <c r="J1106" s="4">
        <v>0</v>
      </c>
      <c r="K1106" s="7">
        <v>1.209</v>
      </c>
      <c r="L1106" s="3">
        <v>158.92</v>
      </c>
      <c r="M1106" s="3">
        <v>100.22</v>
      </c>
    </row>
    <row r="1107" spans="1:13">
      <c r="A1107" s="8" t="s">
        <v>1118</v>
      </c>
      <c r="B1107" s="2">
        <f>HYPERLINK("https://www.suredividend.com/sure-analysis-research-database/","Mirion Technologies, Inc.")</f>
        <v>0</v>
      </c>
      <c r="C1107" s="1" t="s">
        <v>1959</v>
      </c>
      <c r="D1107" s="3">
        <v>27.04</v>
      </c>
      <c r="F1107" s="4">
        <v>0</v>
      </c>
      <c r="G1107" s="3">
        <v>0</v>
      </c>
      <c r="H1107" s="5">
        <v>6796.795868</v>
      </c>
      <c r="I1107" s="6">
        <v>256.4829</v>
      </c>
      <c r="J1107" s="4">
        <v>0</v>
      </c>
      <c r="K1107" s="7">
        <v>1.5987</v>
      </c>
      <c r="L1107" s="3">
        <v>30.28</v>
      </c>
      <c r="M1107" s="3">
        <v>12</v>
      </c>
    </row>
    <row r="1108" spans="1:13">
      <c r="A1108" s="8" t="s">
        <v>1119</v>
      </c>
      <c r="B1108" s="2">
        <f>HYPERLINK("https://www.suredividend.com/sure-analysis-research-database/","Mirum Pharmaceuticals, Inc.")</f>
        <v>0</v>
      </c>
      <c r="C1108" s="1" t="s">
        <v>1965</v>
      </c>
      <c r="D1108" s="3">
        <v>93.27</v>
      </c>
      <c r="F1108" s="4">
        <v>0</v>
      </c>
      <c r="G1108" s="3">
        <v>0</v>
      </c>
      <c r="H1108" s="5">
        <v>4793.478647</v>
      </c>
      <c r="J1108" s="4">
        <v>0</v>
      </c>
      <c r="K1108" s="7">
        <v>0.7553</v>
      </c>
      <c r="L1108" s="3">
        <v>93.98999999999999</v>
      </c>
      <c r="M1108" s="3">
        <v>36.88</v>
      </c>
    </row>
    <row r="1109" spans="1:13">
      <c r="A1109" s="8" t="s">
        <v>1120</v>
      </c>
      <c r="B1109" s="2">
        <f>HYPERLINK("https://www.suredividend.com/sure-analysis-research-database/","MITEK SYSTEMS INC")</f>
        <v>0</v>
      </c>
      <c r="C1109" s="1" t="s">
        <v>1960</v>
      </c>
      <c r="D1109" s="3">
        <v>10.09</v>
      </c>
      <c r="F1109" s="4">
        <v>0</v>
      </c>
      <c r="G1109" s="3">
        <v>0</v>
      </c>
      <c r="H1109" s="5">
        <v>461.540312</v>
      </c>
      <c r="I1109" s="6">
        <v>52.4716</v>
      </c>
      <c r="J1109" s="4">
        <v>0</v>
      </c>
      <c r="K1109" s="7">
        <v>1.2092</v>
      </c>
      <c r="L1109" s="3">
        <v>11.39</v>
      </c>
      <c r="M1109" s="3">
        <v>6.93</v>
      </c>
    </row>
    <row r="1110" spans="1:13">
      <c r="A1110" s="8" t="s">
        <v>1121</v>
      </c>
      <c r="B1110" s="2">
        <f>HYPERLINK("https://www.suredividend.com/sure-analysis-research-database/","AG Mortgage Investment Trust, Inc.")</f>
        <v>0</v>
      </c>
      <c r="C1110" s="1" t="s">
        <v>1961</v>
      </c>
      <c r="D1110" s="3">
        <v>8.9</v>
      </c>
      <c r="E1110" s="4">
        <v>0.1</v>
      </c>
      <c r="F1110" s="4">
        <v>0.09585</v>
      </c>
      <c r="G1110" s="3">
        <v>0.85</v>
      </c>
      <c r="H1110" s="5">
        <v>282.525596</v>
      </c>
      <c r="I1110" s="6">
        <v>10.0076</v>
      </c>
      <c r="J1110" s="4">
        <v>0.903393</v>
      </c>
      <c r="K1110" s="7">
        <v>0.8959</v>
      </c>
      <c r="L1110" s="3">
        <v>9.27</v>
      </c>
      <c r="M1110" s="3">
        <v>5.19</v>
      </c>
    </row>
    <row r="1111" spans="1:13">
      <c r="A1111" s="8" t="s">
        <v>1122</v>
      </c>
      <c r="B1111" s="2">
        <f>HYPERLINK("https://www.suredividend.com/sure-analysis-research-database/","MARKETWISE, INC.")</f>
        <v>0</v>
      </c>
      <c r="C1111" s="1" t="s">
        <v>1959</v>
      </c>
      <c r="D1111" s="3">
        <v>17</v>
      </c>
      <c r="E1111" s="4">
        <v>0.13</v>
      </c>
      <c r="F1111" s="4">
        <v>0.08482000000000001</v>
      </c>
      <c r="G1111" s="3">
        <v>2.1</v>
      </c>
      <c r="H1111" s="5">
        <v>257.26996</v>
      </c>
      <c r="I1111" s="6">
        <v>44.1286</v>
      </c>
      <c r="J1111" s="4">
        <v>0.858714</v>
      </c>
      <c r="K1111" s="7">
        <v>1.0263</v>
      </c>
      <c r="L1111" s="3">
        <v>20.8</v>
      </c>
      <c r="M1111" s="3">
        <v>8.529999999999999</v>
      </c>
    </row>
    <row r="1112" spans="1:13">
      <c r="A1112" s="8" t="s">
        <v>1123</v>
      </c>
      <c r="B1112" s="2">
        <f>HYPERLINK("https://www.suredividend.com/sure-analysis-research-database/","MONEYLION INC.")</f>
        <v>0</v>
      </c>
      <c r="C1112" s="1" t="s">
        <v>1959</v>
      </c>
      <c r="D1112" s="3">
        <v>31.06</v>
      </c>
      <c r="F1112" s="4">
        <v>0</v>
      </c>
      <c r="G1112" s="3">
        <v>0</v>
      </c>
      <c r="H1112" s="5">
        <v>972.396075</v>
      </c>
      <c r="I1112" s="6">
        <v>106.3193</v>
      </c>
      <c r="J1112" s="4">
        <v>0</v>
      </c>
      <c r="K1112" s="7">
        <v>2.1189</v>
      </c>
    </row>
    <row r="1113" spans="1:13">
      <c r="A1113" s="8" t="s">
        <v>1124</v>
      </c>
      <c r="B1113" s="2">
        <f>HYPERLINK("https://www.suredividend.com/sure-analysis-research-database/","MESA LABORATORIES INC /CO/")</f>
        <v>0</v>
      </c>
      <c r="C1113" s="1" t="s">
        <v>1960</v>
      </c>
      <c r="D1113" s="3">
        <v>86.36</v>
      </c>
      <c r="E1113" s="4">
        <v>0.01</v>
      </c>
      <c r="F1113" s="4">
        <v>0.00728</v>
      </c>
      <c r="G1113" s="3">
        <v>0.64</v>
      </c>
      <c r="H1113" s="5">
        <v>477.292303</v>
      </c>
      <c r="K1113" s="7">
        <v>1.0548</v>
      </c>
      <c r="L1113" s="3">
        <v>154.03</v>
      </c>
      <c r="M1113" s="3">
        <v>55.21</v>
      </c>
    </row>
    <row r="1114" spans="1:13">
      <c r="A1114" s="8" t="s">
        <v>1125</v>
      </c>
      <c r="B1114" s="2">
        <f>HYPERLINK("https://www.suredividend.com/sure-analysis-MLI/","MUELLER INDUSTRIES INC")</f>
        <v>0</v>
      </c>
      <c r="C1114" s="1" t="s">
        <v>1964</v>
      </c>
      <c r="D1114" s="3">
        <v>134</v>
      </c>
      <c r="E1114" s="4">
        <v>0.007462686567164179</v>
      </c>
      <c r="F1114" s="4">
        <v>0.00527</v>
      </c>
      <c r="G1114" s="3">
        <v>1</v>
      </c>
      <c r="H1114" s="5">
        <v>14861.394782</v>
      </c>
      <c r="I1114" s="6">
        <v>19.8382</v>
      </c>
      <c r="J1114" s="4">
        <v>0.15327</v>
      </c>
      <c r="K1114" s="7">
        <v>0.97</v>
      </c>
      <c r="L1114" s="3">
        <v>135.08</v>
      </c>
      <c r="M1114" s="3">
        <v>66.31</v>
      </c>
    </row>
    <row r="1115" spans="1:13">
      <c r="A1115" s="8" t="s">
        <v>1126</v>
      </c>
      <c r="B1115" s="2">
        <f>HYPERLINK("https://www.suredividend.com/sure-analysis-research-database/","MILLERKNOLL, INC.")</f>
        <v>0</v>
      </c>
      <c r="C1115" s="1" t="s">
        <v>1959</v>
      </c>
      <c r="D1115" s="3">
        <v>19.805</v>
      </c>
      <c r="E1115" s="4">
        <v>0.04</v>
      </c>
      <c r="F1115" s="4">
        <v>0.03981</v>
      </c>
      <c r="G1115" s="3">
        <v>0.75</v>
      </c>
      <c r="H1115" s="5">
        <v>1351.349604</v>
      </c>
      <c r="K1115" s="7">
        <v>1.1183</v>
      </c>
      <c r="L1115" s="3">
        <v>22.53</v>
      </c>
      <c r="M1115" s="3">
        <v>13.61</v>
      </c>
    </row>
    <row r="1116" spans="1:13">
      <c r="A1116" s="8" t="s">
        <v>1127</v>
      </c>
      <c r="B1116" s="2">
        <f>HYPERLINK("https://www.suredividend.com/sure-analysis-research-database/","MeridianLink, Inc.")</f>
        <v>0</v>
      </c>
      <c r="C1116" s="1" t="s">
        <v>1959</v>
      </c>
      <c r="D1116" s="3">
        <v>20.02</v>
      </c>
      <c r="F1116" s="4">
        <v>0</v>
      </c>
      <c r="G1116" s="3">
        <v>0</v>
      </c>
      <c r="H1116" s="5">
        <v>1482.626883</v>
      </c>
      <c r="J1116" s="4">
        <v>0</v>
      </c>
      <c r="K1116" s="7">
        <v>1.0043</v>
      </c>
    </row>
    <row r="1117" spans="1:13">
      <c r="A1117" s="8" t="s">
        <v>1128</v>
      </c>
      <c r="B1117" s="2">
        <f>HYPERLINK("https://www.suredividend.com/sure-analysis-research-database/","MAUI LAND &amp; PINEAPPLE CO INC")</f>
        <v>0</v>
      </c>
      <c r="C1117" s="1" t="s">
        <v>1961</v>
      </c>
      <c r="D1117" s="3">
        <v>17.2</v>
      </c>
      <c r="F1117" s="4">
        <v>0</v>
      </c>
      <c r="G1117" s="3">
        <v>0.12</v>
      </c>
      <c r="H1117" s="5">
        <v>338.570309</v>
      </c>
      <c r="J1117" s="4">
        <v>0</v>
      </c>
      <c r="K1117" s="7">
        <v>1.0554</v>
      </c>
      <c r="L1117" s="3">
        <v>21.34</v>
      </c>
      <c r="M1117" s="3">
        <v>13.84</v>
      </c>
    </row>
    <row r="1118" spans="1:13">
      <c r="A1118" s="8" t="s">
        <v>1129</v>
      </c>
      <c r="B1118" s="2">
        <f>HYPERLINK("https://www.suredividend.com/sure-analysis-research-database/","MILLER INDUSTRIES INC /TN/")</f>
        <v>0</v>
      </c>
      <c r="C1118" s="1" t="s">
        <v>1963</v>
      </c>
      <c r="D1118" s="3">
        <v>41</v>
      </c>
      <c r="E1118" s="4">
        <v>0.02</v>
      </c>
      <c r="F1118" s="4">
        <v>0.01921</v>
      </c>
      <c r="G1118" s="3">
        <v>0.8</v>
      </c>
      <c r="H1118" s="5">
        <v>468.80237</v>
      </c>
      <c r="I1118" s="6">
        <v>15.5557</v>
      </c>
      <c r="J1118" s="4">
        <v>0.299997</v>
      </c>
      <c r="K1118" s="7">
        <v>0.9654</v>
      </c>
      <c r="L1118" s="3">
        <v>68.73</v>
      </c>
      <c r="M1118" s="3">
        <v>33.47</v>
      </c>
    </row>
    <row r="1119" spans="1:13">
      <c r="A1119" s="8" t="s">
        <v>1130</v>
      </c>
      <c r="B1119" s="2">
        <f>HYPERLINK("https://www.suredividend.com/sure-analysis-research-database/","Mineralys Therapeutics, Inc.")</f>
        <v>0</v>
      </c>
      <c r="C1119" s="1" t="s">
        <v>1959</v>
      </c>
      <c r="D1119" s="3">
        <v>31.2</v>
      </c>
      <c r="F1119" s="4">
        <v>0</v>
      </c>
      <c r="G1119" s="3">
        <v>0</v>
      </c>
      <c r="H1119" s="5">
        <v>2477.872022</v>
      </c>
      <c r="J1119" s="4">
        <v>0</v>
      </c>
      <c r="K1119" s="7">
        <v>1.5446</v>
      </c>
      <c r="L1119" s="3">
        <v>47.65</v>
      </c>
      <c r="M1119" s="3">
        <v>8.24</v>
      </c>
    </row>
    <row r="1120" spans="1:13">
      <c r="A1120" s="8" t="s">
        <v>1131</v>
      </c>
      <c r="B1120" s="2">
        <f>HYPERLINK("https://www.suredividend.com/sure-analysis-research-database/","Marcus &amp; Millichap, Inc.")</f>
        <v>0</v>
      </c>
      <c r="C1120" s="1" t="s">
        <v>1961</v>
      </c>
      <c r="D1120" s="3">
        <v>26.95</v>
      </c>
      <c r="E1120" s="4">
        <v>0.02</v>
      </c>
      <c r="F1120" s="4">
        <v>0.01426</v>
      </c>
      <c r="G1120" s="3">
        <v>0.5</v>
      </c>
      <c r="H1120" s="5">
        <v>1051.299534</v>
      </c>
      <c r="K1120" s="7">
        <v>1.0706</v>
      </c>
      <c r="L1120" s="3">
        <v>41.32</v>
      </c>
      <c r="M1120" s="3">
        <v>25.3</v>
      </c>
    </row>
    <row r="1121" spans="1:13">
      <c r="A1121" s="8" t="s">
        <v>1132</v>
      </c>
      <c r="B1121" s="2">
        <f>HYPERLINK("https://www.suredividend.com/sure-analysis-research-database/","MAXIMUS, INC.")</f>
        <v>0</v>
      </c>
      <c r="C1121" s="1" t="s">
        <v>1964</v>
      </c>
      <c r="D1121" s="3">
        <v>97.88</v>
      </c>
      <c r="E1121" s="4">
        <v>0.01</v>
      </c>
      <c r="F1121" s="4">
        <v>0.01297</v>
      </c>
      <c r="G1121" s="3">
        <v>1.2</v>
      </c>
      <c r="H1121" s="5">
        <v>5333.415381</v>
      </c>
      <c r="I1121" s="6">
        <v>16.7174</v>
      </c>
      <c r="J1121" s="4">
        <v>0.215369</v>
      </c>
      <c r="K1121" s="7">
        <v>0.5484</v>
      </c>
      <c r="L1121" s="3">
        <v>99.14</v>
      </c>
      <c r="M1121" s="3">
        <v>63.05</v>
      </c>
    </row>
    <row r="1122" spans="1:13">
      <c r="A1122" s="8" t="s">
        <v>1133</v>
      </c>
      <c r="B1122" s="2">
        <f>HYPERLINK("https://www.suredividend.com/sure-analysis-research-database/","MERIT MEDICAL SYSTEMS INC")</f>
        <v>0</v>
      </c>
      <c r="C1122" s="1" t="s">
        <v>1965</v>
      </c>
      <c r="D1122" s="3">
        <v>82.95</v>
      </c>
      <c r="F1122" s="4">
        <v>0</v>
      </c>
      <c r="G1122" s="3">
        <v>0</v>
      </c>
      <c r="H1122" s="5">
        <v>4947.771196</v>
      </c>
      <c r="I1122" s="6">
        <v>41.778</v>
      </c>
      <c r="J1122" s="4">
        <v>0</v>
      </c>
      <c r="K1122" s="7">
        <v>0.5629999999999999</v>
      </c>
      <c r="L1122" s="3">
        <v>111.45</v>
      </c>
      <c r="M1122" s="3">
        <v>78.12</v>
      </c>
    </row>
    <row r="1123" spans="1:13">
      <c r="A1123" s="8" t="s">
        <v>1134</v>
      </c>
      <c r="B1123" s="2">
        <f>HYPERLINK("https://www.suredividend.com/sure-analysis-research-database/","MANNKIND CORP")</f>
        <v>0</v>
      </c>
      <c r="C1123" s="1" t="s">
        <v>1965</v>
      </c>
      <c r="D1123" s="3">
        <v>5.72</v>
      </c>
      <c r="F1123" s="4">
        <v>0</v>
      </c>
      <c r="G1123" s="3">
        <v>0</v>
      </c>
      <c r="H1123" s="5">
        <v>1753.371305</v>
      </c>
      <c r="I1123" s="6">
        <v>59.9792</v>
      </c>
      <c r="J1123" s="4">
        <v>0</v>
      </c>
      <c r="K1123" s="7">
        <v>0.8574000000000001</v>
      </c>
      <c r="L1123" s="3">
        <v>6.51</v>
      </c>
      <c r="M1123" s="3">
        <v>3.38</v>
      </c>
    </row>
    <row r="1124" spans="1:13">
      <c r="A1124" s="8" t="s">
        <v>1135</v>
      </c>
      <c r="B1124" s="2">
        <f>HYPERLINK("https://www.suredividend.com/sure-analysis-research-database/","Mind Medicine (MindMed) Inc.")</f>
        <v>0</v>
      </c>
      <c r="C1124" s="1" t="s">
        <v>1959</v>
      </c>
      <c r="D1124" s="3">
        <v>17.15</v>
      </c>
      <c r="G1124" s="3">
        <v>0</v>
      </c>
    </row>
    <row r="1125" spans="1:13">
      <c r="A1125" s="8" t="s">
        <v>1136</v>
      </c>
      <c r="B1125" s="2">
        <f>HYPERLINK("https://www.suredividend.com/sure-analysis-research-database/","MONRO, INC.")</f>
        <v>0</v>
      </c>
      <c r="C1125" s="1" t="s">
        <v>1963</v>
      </c>
      <c r="D1125" s="3">
        <v>20.85</v>
      </c>
      <c r="E1125" s="4">
        <v>0.05</v>
      </c>
      <c r="F1125" s="4">
        <v>0.05323</v>
      </c>
      <c r="G1125" s="3">
        <v>1.12</v>
      </c>
      <c r="H1125" s="5">
        <v>625.909911</v>
      </c>
      <c r="K1125" s="7">
        <v>0.9931</v>
      </c>
      <c r="L1125" s="3">
        <v>21.77</v>
      </c>
      <c r="M1125" s="3">
        <v>11.61</v>
      </c>
    </row>
    <row r="1126" spans="1:13">
      <c r="A1126" s="8" t="s">
        <v>1137</v>
      </c>
      <c r="B1126" s="2">
        <f>HYPERLINK("https://www.suredividend.com/sure-analysis-research-database/","Montauk Renewables, Inc.")</f>
        <v>0</v>
      </c>
      <c r="C1126" s="1" t="s">
        <v>1959</v>
      </c>
      <c r="D1126" s="3">
        <v>1.54</v>
      </c>
      <c r="F1126" s="4">
        <v>0</v>
      </c>
      <c r="G1126" s="3">
        <v>0</v>
      </c>
      <c r="H1126" s="5">
        <v>219.07519</v>
      </c>
      <c r="J1126" s="4">
        <v>0</v>
      </c>
      <c r="K1126" s="7">
        <v>1.5463</v>
      </c>
      <c r="L1126" s="3">
        <v>4.71</v>
      </c>
      <c r="M1126" s="3">
        <v>1.37</v>
      </c>
    </row>
    <row r="1127" spans="1:13">
      <c r="A1127" s="8" t="s">
        <v>1138</v>
      </c>
      <c r="B1127" s="2">
        <f>HYPERLINK("https://www.suredividend.com/sure-analysis-research-database/","MODINE MANUFACTURING CO")</f>
        <v>0</v>
      </c>
      <c r="C1127" s="1" t="s">
        <v>1963</v>
      </c>
      <c r="D1127" s="3">
        <v>145.55</v>
      </c>
      <c r="F1127" s="4">
        <v>0</v>
      </c>
      <c r="G1127" s="3">
        <v>0.47</v>
      </c>
      <c r="H1127" s="5">
        <v>7564.54625</v>
      </c>
      <c r="I1127" s="6">
        <v>40.6259</v>
      </c>
      <c r="J1127" s="4">
        <v>0.013312</v>
      </c>
      <c r="K1127" s="7">
        <v>1.9346</v>
      </c>
      <c r="L1127" s="3">
        <v>166.94</v>
      </c>
      <c r="M1127" s="3">
        <v>64.79000000000001</v>
      </c>
    </row>
    <row r="1128" spans="1:13">
      <c r="A1128" s="8" t="s">
        <v>1139</v>
      </c>
      <c r="B1128" s="2">
        <f>HYPERLINK("https://www.suredividend.com/sure-analysis-research-database/","Callaway Golf Co")</f>
        <v>0</v>
      </c>
      <c r="C1128" s="1" t="s">
        <v>1959</v>
      </c>
      <c r="D1128" s="3">
        <v>15.89</v>
      </c>
      <c r="F1128" s="4">
        <v>0</v>
      </c>
      <c r="G1128" s="3">
        <v>0.04</v>
      </c>
      <c r="H1128" s="5">
        <v>2846.518701</v>
      </c>
      <c r="J1128" s="4">
        <v>0</v>
      </c>
      <c r="K1128" s="7">
        <v>1.2235</v>
      </c>
      <c r="L1128" s="3">
        <v>15.26</v>
      </c>
      <c r="M1128" s="3">
        <v>5.42</v>
      </c>
    </row>
    <row r="1129" spans="1:13">
      <c r="A1129" s="8" t="s">
        <v>1140</v>
      </c>
      <c r="B1129" s="2">
        <f>HYPERLINK("https://www.suredividend.com/sure-analysis-research-database/","ModivCare Inc")</f>
        <v>0</v>
      </c>
      <c r="C1129" s="1" t="s">
        <v>1959</v>
      </c>
      <c r="D1129" s="3">
        <v>0.02</v>
      </c>
      <c r="F1129" s="4">
        <v>0</v>
      </c>
      <c r="G1129" s="3">
        <v>0</v>
      </c>
      <c r="H1129" s="5">
        <v>0.216024</v>
      </c>
      <c r="J1129" s="4">
        <v>0</v>
      </c>
    </row>
    <row r="1130" spans="1:13">
      <c r="A1130" s="8" t="s">
        <v>1141</v>
      </c>
      <c r="B1130" s="2">
        <f>HYPERLINK("https://www.suredividend.com/sure-analysis-research-database/","MidWestOne Financial Group, Inc.")</f>
        <v>0</v>
      </c>
      <c r="C1130" s="1" t="s">
        <v>1962</v>
      </c>
      <c r="D1130" s="3">
        <v>45.87</v>
      </c>
      <c r="E1130" s="4">
        <v>0.03</v>
      </c>
      <c r="F1130" s="4">
        <v>0.02394</v>
      </c>
      <c r="G1130" s="3">
        <v>1.21</v>
      </c>
      <c r="H1130" s="5">
        <v>946.631029</v>
      </c>
      <c r="I1130" s="6">
        <v>16.192</v>
      </c>
      <c r="J1130" s="4">
        <v>0.344526</v>
      </c>
      <c r="K1130" s="7">
        <v>1.0196</v>
      </c>
      <c r="L1130" s="3">
        <v>42.43</v>
      </c>
      <c r="M1130" s="3">
        <v>23.93</v>
      </c>
    </row>
    <row r="1131" spans="1:13">
      <c r="A1131" s="8" t="s">
        <v>1142</v>
      </c>
      <c r="B1131" s="2">
        <f>HYPERLINK("https://www.suredividend.com/sure-analysis-research-database/","")</f>
        <v>0</v>
      </c>
      <c r="C1131" s="1" t="s">
        <v>1959</v>
      </c>
      <c r="D1131" s="3">
        <v>299.1</v>
      </c>
      <c r="F1131" s="4">
        <v>0.00419</v>
      </c>
      <c r="G1131" s="3">
        <v>1.16</v>
      </c>
      <c r="H1131" s="5">
        <v>9408.33706</v>
      </c>
      <c r="I1131" s="6">
        <v>40.0307</v>
      </c>
      <c r="J1131" s="4">
        <v>0.155003</v>
      </c>
      <c r="K1131" s="7">
        <v>0.911</v>
      </c>
      <c r="L1131" s="3">
        <v>295.09</v>
      </c>
      <c r="M1131" s="3">
        <v>143.05</v>
      </c>
    </row>
    <row r="1132" spans="1:13">
      <c r="A1132" s="8" t="s">
        <v>1143</v>
      </c>
      <c r="B1132" s="2">
        <f>HYPERLINK("https://www.suredividend.com/sure-analysis-research-database/","MOVADO GROUP INC")</f>
        <v>0</v>
      </c>
      <c r="C1132" s="1" t="s">
        <v>1963</v>
      </c>
      <c r="D1132" s="3">
        <v>22.99</v>
      </c>
      <c r="E1132" s="4">
        <v>0.08</v>
      </c>
      <c r="F1132" s="4">
        <v>0.0602</v>
      </c>
      <c r="G1132" s="3">
        <v>1.75</v>
      </c>
      <c r="H1132" s="5">
        <v>503.417074</v>
      </c>
      <c r="I1132" s="6">
        <v>22.839</v>
      </c>
      <c r="J1132" s="4">
        <v>1.378001</v>
      </c>
      <c r="K1132" s="7">
        <v>1.0326</v>
      </c>
      <c r="L1132" s="3">
        <v>22.96</v>
      </c>
      <c r="M1132" s="3">
        <v>11.83</v>
      </c>
    </row>
    <row r="1133" spans="1:13">
      <c r="A1133" s="8" t="s">
        <v>1144</v>
      </c>
      <c r="B1133" s="2">
        <f>HYPERLINK("https://www.suredividend.com/sure-analysis-research-database/","MID PENN BANCORP INC")</f>
        <v>0</v>
      </c>
      <c r="C1133" s="1" t="s">
        <v>1962</v>
      </c>
      <c r="D1133" s="3">
        <v>33.51</v>
      </c>
      <c r="E1133" s="4">
        <v>0.02</v>
      </c>
      <c r="F1133" s="4">
        <v>0.02616</v>
      </c>
      <c r="G1133" s="3">
        <v>0.82</v>
      </c>
      <c r="H1133" s="5">
        <v>772.585586</v>
      </c>
      <c r="I1133" s="6">
        <v>15.4415</v>
      </c>
      <c r="J1133" s="4">
        <v>0.338716</v>
      </c>
      <c r="K1133" s="7">
        <v>0.8114</v>
      </c>
      <c r="L1133" s="3">
        <v>33.24</v>
      </c>
      <c r="M1133" s="3">
        <v>22.01</v>
      </c>
    </row>
    <row r="1134" spans="1:13">
      <c r="A1134" s="8" t="s">
        <v>1145</v>
      </c>
      <c r="B1134" s="2">
        <f>HYPERLINK("https://www.suredividend.com/sure-analysis-research-database/","MARINE PRODUCTS CORP")</f>
        <v>0</v>
      </c>
      <c r="C1134" s="1" t="s">
        <v>1963</v>
      </c>
      <c r="D1134" s="3">
        <v>9.470000000000001</v>
      </c>
      <c r="E1134" s="4">
        <v>0.13</v>
      </c>
      <c r="F1134" s="4">
        <v>0.08840000000000001</v>
      </c>
      <c r="G1134" s="3">
        <v>1.26</v>
      </c>
      <c r="H1134" s="5">
        <v>332.490823</v>
      </c>
      <c r="I1134" s="6">
        <v>25.0275</v>
      </c>
      <c r="J1134" s="4">
        <v>1.474068</v>
      </c>
      <c r="K1134" s="7">
        <v>0.5919</v>
      </c>
      <c r="L1134" s="3">
        <v>10.08</v>
      </c>
      <c r="M1134" s="3">
        <v>7.13</v>
      </c>
    </row>
    <row r="1135" spans="1:13">
      <c r="A1135" s="8" t="s">
        <v>1146</v>
      </c>
      <c r="B1135" s="2">
        <f>HYPERLINK("https://www.suredividend.com/sure-analysis-research-database/","Marqeta, Inc.")</f>
        <v>0</v>
      </c>
      <c r="C1135" s="1" t="s">
        <v>1959</v>
      </c>
      <c r="D1135" s="3">
        <v>4.42</v>
      </c>
      <c r="F1135" s="4">
        <v>0</v>
      </c>
      <c r="G1135" s="3">
        <v>0</v>
      </c>
      <c r="H1135" s="5">
        <v>1940.837679</v>
      </c>
      <c r="J1135" s="4">
        <v>0</v>
      </c>
      <c r="K1135" s="7">
        <v>0.6798</v>
      </c>
      <c r="L1135" s="3">
        <v>7.04</v>
      </c>
      <c r="M1135" s="3">
        <v>3.48</v>
      </c>
    </row>
    <row r="1136" spans="1:13">
      <c r="A1136" s="8" t="s">
        <v>1147</v>
      </c>
      <c r="B1136" s="2">
        <f>HYPERLINK("https://www.suredividend.com/sure-analysis-research-database/","EVERSPIN TECHNOLOGIES INC")</f>
        <v>0</v>
      </c>
      <c r="C1136" s="1" t="s">
        <v>1960</v>
      </c>
      <c r="D1136" s="3">
        <v>17.39</v>
      </c>
      <c r="F1136" s="4">
        <v>0</v>
      </c>
      <c r="G1136" s="3">
        <v>0</v>
      </c>
      <c r="H1136" s="5">
        <v>367.532745</v>
      </c>
      <c r="J1136" s="4">
        <v>0</v>
      </c>
      <c r="K1136" s="7">
        <v>1.2197</v>
      </c>
      <c r="L1136" s="3">
        <v>16.25</v>
      </c>
      <c r="M1136" s="3">
        <v>4.34</v>
      </c>
    </row>
    <row r="1137" spans="1:13">
      <c r="A1137" s="8" t="s">
        <v>1148</v>
      </c>
      <c r="B1137" s="2">
        <f>HYPERLINK("https://www.suredividend.com/sure-analysis-research-database/","Morguard Corporation")</f>
        <v>0</v>
      </c>
      <c r="C1137" s="1" t="s">
        <v>1969</v>
      </c>
      <c r="D1137" s="3">
        <v>13.78</v>
      </c>
      <c r="F1137" s="4">
        <v>0</v>
      </c>
      <c r="G1137" s="3">
        <v>0</v>
      </c>
      <c r="H1137" s="5">
        <v>1171.198882</v>
      </c>
      <c r="K1137" s="7">
        <v>1.5118</v>
      </c>
    </row>
    <row r="1138" spans="1:13">
      <c r="A1138" s="8" t="s">
        <v>1149</v>
      </c>
      <c r="B1138" s="2">
        <f>HYPERLINK("https://www.suredividend.com/sure-analysis-research-database/","MERCURY SYSTEMS INC")</f>
        <v>0</v>
      </c>
      <c r="C1138" s="1" t="s">
        <v>1964</v>
      </c>
      <c r="D1138" s="3">
        <v>99.56999999999999</v>
      </c>
      <c r="F1138" s="4">
        <v>0</v>
      </c>
      <c r="G1138" s="3">
        <v>0</v>
      </c>
      <c r="H1138" s="5">
        <v>5984.170542</v>
      </c>
      <c r="J1138" s="4">
        <v>0</v>
      </c>
      <c r="K1138" s="7">
        <v>0.9035</v>
      </c>
      <c r="L1138" s="3">
        <v>103.84</v>
      </c>
      <c r="M1138" s="3">
        <v>39.42</v>
      </c>
    </row>
    <row r="1139" spans="1:13">
      <c r="A1139" s="8" t="s">
        <v>1150</v>
      </c>
      <c r="B1139" s="2">
        <f>HYPERLINK("https://www.suredividend.com/sure-analysis-research-database/","Mersana Therapeutics, Inc.")</f>
        <v>0</v>
      </c>
      <c r="C1139" s="1" t="s">
        <v>1965</v>
      </c>
      <c r="D1139" s="3">
        <v>29.33</v>
      </c>
      <c r="F1139" s="4">
        <v>0</v>
      </c>
      <c r="G1139" s="3">
        <v>0</v>
      </c>
      <c r="H1139" s="5">
        <v>145.36365</v>
      </c>
      <c r="J1139" s="4">
        <v>0</v>
      </c>
      <c r="K1139" s="7">
        <v>2.0181</v>
      </c>
    </row>
    <row r="1140" spans="1:13">
      <c r="A1140" s="8" t="s">
        <v>1151</v>
      </c>
      <c r="B1140" s="2">
        <f>HYPERLINK("https://www.suredividend.com/sure-analysis-research-database/","MARTEN TRANSPORT LTD")</f>
        <v>0</v>
      </c>
      <c r="C1140" s="1" t="s">
        <v>1964</v>
      </c>
      <c r="D1140" s="3">
        <v>12.855</v>
      </c>
      <c r="E1140" s="4">
        <v>0.02</v>
      </c>
      <c r="F1140" s="4">
        <v>0.02508</v>
      </c>
      <c r="G1140" s="3">
        <v>0.24</v>
      </c>
      <c r="H1140" s="5">
        <v>1049.167857</v>
      </c>
      <c r="I1140" s="6">
        <v>54.1366</v>
      </c>
      <c r="J1140" s="4">
        <v>1.009288</v>
      </c>
      <c r="K1140" s="7">
        <v>0.8517</v>
      </c>
      <c r="L1140" s="3">
        <v>16.63</v>
      </c>
      <c r="M1140" s="3">
        <v>9.300000000000001</v>
      </c>
    </row>
    <row r="1141" spans="1:13">
      <c r="A1141" s="8" t="s">
        <v>1152</v>
      </c>
      <c r="B1141" s="2">
        <f>HYPERLINK("https://www.suredividend.com/sure-analysis-research-database/","MARAVAI LIFESCIENCES HOLDINGS, INC.")</f>
        <v>0</v>
      </c>
      <c r="C1141" s="1" t="s">
        <v>1959</v>
      </c>
      <c r="D1141" s="3">
        <v>3.84</v>
      </c>
      <c r="F1141" s="4">
        <v>0</v>
      </c>
      <c r="G1141" s="3">
        <v>0</v>
      </c>
      <c r="H1141" s="5">
        <v>979.357163</v>
      </c>
      <c r="J1141" s="4">
        <v>0.000365</v>
      </c>
      <c r="K1141" s="7">
        <v>1.5141</v>
      </c>
      <c r="L1141" s="3">
        <v>6.05</v>
      </c>
      <c r="M1141" s="3">
        <v>1.67</v>
      </c>
    </row>
    <row r="1142" spans="1:13">
      <c r="A1142" s="8" t="s">
        <v>1153</v>
      </c>
      <c r="B1142" s="2">
        <f>HYPERLINK("https://www.suredividend.com/sure-analysis-MSBI/","Midland States Bancorp, Inc.")</f>
        <v>0</v>
      </c>
      <c r="C1142" s="1" t="s">
        <v>1962</v>
      </c>
      <c r="D1142" s="3">
        <v>23.99</v>
      </c>
      <c r="E1142" s="4">
        <v>0.05335556481867445</v>
      </c>
      <c r="F1142" s="4">
        <v>0.05846</v>
      </c>
      <c r="G1142" s="3">
        <v>1.26</v>
      </c>
      <c r="H1142" s="5">
        <v>511.637857</v>
      </c>
      <c r="K1142" s="7">
        <v>0.7671</v>
      </c>
      <c r="L1142" s="3">
        <v>23.79</v>
      </c>
      <c r="M1142" s="3">
        <v>13.96</v>
      </c>
    </row>
    <row r="1143" spans="1:13">
      <c r="A1143" s="8" t="s">
        <v>1154</v>
      </c>
      <c r="B1143" s="2">
        <f>HYPERLINK("https://www.suredividend.com/sure-analysis-MSEX/","MIDDLESEX WATER CO")</f>
        <v>0</v>
      </c>
      <c r="C1143" s="1" t="s">
        <v>1967</v>
      </c>
      <c r="D1143" s="3">
        <v>53.295</v>
      </c>
      <c r="E1143" s="4">
        <v>0.02701942020827469</v>
      </c>
      <c r="F1143" s="4">
        <v>0.02567</v>
      </c>
      <c r="G1143" s="3">
        <v>1.38</v>
      </c>
      <c r="H1143" s="5">
        <v>967.97128</v>
      </c>
      <c r="I1143" s="6">
        <v>22.544</v>
      </c>
      <c r="J1143" s="4">
        <v>0.5687720000000001</v>
      </c>
      <c r="K1143" s="7">
        <v>0.2153</v>
      </c>
      <c r="L1143" s="3">
        <v>65.79000000000001</v>
      </c>
      <c r="M1143" s="3">
        <v>43.87</v>
      </c>
    </row>
    <row r="1144" spans="1:13">
      <c r="A1144" s="8" t="s">
        <v>1155</v>
      </c>
      <c r="B1144" s="2">
        <f>HYPERLINK("https://www.suredividend.com/sure-analysis-research-database/","")</f>
        <v>0</v>
      </c>
      <c r="C1144" s="1" t="s">
        <v>1959</v>
      </c>
      <c r="D1144" s="3">
        <v>0</v>
      </c>
      <c r="G1144" s="3">
        <v>0</v>
      </c>
    </row>
    <row r="1145" spans="1:13">
      <c r="A1145" s="8" t="s">
        <v>1156</v>
      </c>
      <c r="B1145" s="2">
        <f>HYPERLINK("https://www.suredividend.com/sure-analysis-research-database/","Madison Square Garden Entertainment Corp.")</f>
        <v>0</v>
      </c>
      <c r="C1145" s="1" t="s">
        <v>1959</v>
      </c>
      <c r="D1145" s="3">
        <v>59.29</v>
      </c>
      <c r="F1145" s="4">
        <v>0</v>
      </c>
      <c r="G1145" s="3">
        <v>0</v>
      </c>
      <c r="H1145" s="5">
        <v>2802.729493</v>
      </c>
      <c r="I1145" s="6">
        <v>79.8544</v>
      </c>
      <c r="J1145" s="4">
        <v>0</v>
      </c>
      <c r="K1145" s="7">
        <v>1.1703</v>
      </c>
      <c r="L1145" s="3">
        <v>61.64</v>
      </c>
      <c r="M1145" s="3">
        <v>28.29</v>
      </c>
    </row>
    <row r="1146" spans="1:13">
      <c r="A1146" s="8" t="s">
        <v>1157</v>
      </c>
      <c r="B1146" s="2">
        <f>HYPERLINK("https://www.suredividend.com/sure-analysis-research-database/","MAC Copper Ltd")</f>
        <v>0</v>
      </c>
      <c r="C1146" s="1" t="s">
        <v>1959</v>
      </c>
      <c r="D1146" s="3">
        <v>12.215</v>
      </c>
      <c r="F1146" s="4">
        <v>0</v>
      </c>
      <c r="G1146" s="3">
        <v>0</v>
      </c>
      <c r="H1146" s="5">
        <v>1006.573243</v>
      </c>
      <c r="J1146" s="4">
        <v>0</v>
      </c>
      <c r="K1146" s="7">
        <v>1.1454</v>
      </c>
    </row>
    <row r="1147" spans="1:13">
      <c r="A1147" s="8" t="s">
        <v>1158</v>
      </c>
      <c r="B1147" s="2">
        <f>HYPERLINK("https://www.suredividend.com/sure-analysis-research-database/","Meritage Homes CORP")</f>
        <v>0</v>
      </c>
      <c r="C1147" s="1" t="s">
        <v>1963</v>
      </c>
      <c r="D1147" s="3">
        <v>76.09</v>
      </c>
      <c r="E1147" s="4">
        <v>0.02</v>
      </c>
      <c r="F1147" s="4">
        <v>0.01116</v>
      </c>
      <c r="G1147" s="3">
        <v>1.72</v>
      </c>
      <c r="H1147" s="5">
        <v>5357.950403</v>
      </c>
      <c r="I1147" s="6">
        <v>9.892300000000001</v>
      </c>
      <c r="J1147" s="4">
        <v>0.219208</v>
      </c>
      <c r="K1147" s="7">
        <v>1.0706</v>
      </c>
      <c r="L1147" s="3">
        <v>83.73999999999999</v>
      </c>
      <c r="M1147" s="3">
        <v>58.19</v>
      </c>
    </row>
    <row r="1148" spans="1:13">
      <c r="A1148" s="8" t="s">
        <v>1159</v>
      </c>
      <c r="B1148" s="2">
        <f>HYPERLINK("https://www.suredividend.com/sure-analysis-MTRN/","MATERION Corp")</f>
        <v>0</v>
      </c>
      <c r="C1148" s="1" t="s">
        <v>1970</v>
      </c>
      <c r="D1148" s="3">
        <v>150.1</v>
      </c>
      <c r="E1148" s="4">
        <v>0.003730846102598268</v>
      </c>
      <c r="F1148" s="4">
        <v>0.004</v>
      </c>
      <c r="G1148" s="3">
        <v>0.5600000000000001</v>
      </c>
      <c r="H1148" s="5">
        <v>3091.666338</v>
      </c>
      <c r="I1148" s="6">
        <v>159.3725</v>
      </c>
      <c r="J1148" s="4">
        <v>0.587659</v>
      </c>
      <c r="K1148" s="7">
        <v>1.3042</v>
      </c>
      <c r="L1148" s="3">
        <v>151.02</v>
      </c>
      <c r="M1148" s="3">
        <v>68.81</v>
      </c>
    </row>
    <row r="1149" spans="1:13">
      <c r="A1149" s="8" t="s">
        <v>1160</v>
      </c>
      <c r="B1149" s="2">
        <f>HYPERLINK("https://www.suredividend.com/sure-analysis-research-database/","MATRIX SERVICE CO")</f>
        <v>0</v>
      </c>
      <c r="C1149" s="1" t="s">
        <v>1969</v>
      </c>
      <c r="D1149" s="3">
        <v>14.18</v>
      </c>
      <c r="F1149" s="4">
        <v>0</v>
      </c>
      <c r="G1149" s="3">
        <v>0</v>
      </c>
      <c r="H1149" s="5">
        <v>399.087038</v>
      </c>
      <c r="J1149" s="4">
        <v>0</v>
      </c>
      <c r="K1149" s="7">
        <v>1.4088</v>
      </c>
      <c r="L1149" s="3">
        <v>16.11</v>
      </c>
      <c r="M1149" s="3">
        <v>9.33</v>
      </c>
    </row>
    <row r="1150" spans="1:13">
      <c r="A1150" s="8" t="s">
        <v>1161</v>
      </c>
      <c r="B1150" s="2">
        <f>HYPERLINK("https://www.suredividend.com/sure-analysis-research-database/","Metsera, Inc.")</f>
        <v>0</v>
      </c>
      <c r="C1150" s="1" t="s">
        <v>1959</v>
      </c>
      <c r="D1150" s="3">
        <v>70.63</v>
      </c>
      <c r="F1150" s="4">
        <v>0</v>
      </c>
      <c r="G1150" s="3">
        <v>0</v>
      </c>
      <c r="H1150" s="5">
        <v>7404.644751</v>
      </c>
      <c r="J1150" s="4">
        <v>0</v>
      </c>
      <c r="K1150" s="7">
        <v>2.4605</v>
      </c>
    </row>
    <row r="1151" spans="1:13">
      <c r="A1151" s="8" t="s">
        <v>1162</v>
      </c>
      <c r="B1151" s="2">
        <f>HYPERLINK("https://www.suredividend.com/sure-analysis-research-database/","Metallus Inc.")</f>
        <v>0</v>
      </c>
      <c r="C1151" s="1" t="s">
        <v>1959</v>
      </c>
      <c r="D1151" s="3">
        <v>20.33</v>
      </c>
      <c r="F1151" s="4">
        <v>0</v>
      </c>
      <c r="G1151" s="3">
        <v>0</v>
      </c>
      <c r="H1151" s="5">
        <v>847.13647</v>
      </c>
      <c r="J1151" s="4">
        <v>0</v>
      </c>
      <c r="K1151" s="7">
        <v>1.44</v>
      </c>
      <c r="L1151" s="3">
        <v>21.01</v>
      </c>
      <c r="M1151" s="3">
        <v>10.78</v>
      </c>
    </row>
    <row r="1152" spans="1:13">
      <c r="A1152" s="8" t="s">
        <v>1163</v>
      </c>
      <c r="B1152" s="2">
        <f>HYPERLINK("https://www.suredividend.com/sure-analysis-research-database/","MANITOWOC CO INC")</f>
        <v>0</v>
      </c>
      <c r="C1152" s="1" t="s">
        <v>1964</v>
      </c>
      <c r="D1152" s="3">
        <v>13.52</v>
      </c>
      <c r="F1152" s="4">
        <v>0</v>
      </c>
      <c r="G1152" s="3">
        <v>0.06</v>
      </c>
      <c r="H1152" s="5">
        <v>479.921845</v>
      </c>
      <c r="I1152" s="6">
        <v>8.4345</v>
      </c>
      <c r="J1152" s="4">
        <v>0</v>
      </c>
      <c r="K1152" s="7">
        <v>1.641</v>
      </c>
      <c r="L1152" s="3">
        <v>14.33</v>
      </c>
      <c r="M1152" s="3">
        <v>7.06</v>
      </c>
    </row>
    <row r="1153" spans="1:13">
      <c r="A1153" s="8" t="s">
        <v>1164</v>
      </c>
      <c r="B1153" s="2">
        <f>HYPERLINK("https://www.suredividend.com/sure-analysis-research-database/","MINERALS TECHNOLOGIES INC")</f>
        <v>0</v>
      </c>
      <c r="C1153" s="1" t="s">
        <v>1970</v>
      </c>
      <c r="D1153" s="3">
        <v>67.3</v>
      </c>
      <c r="E1153" s="4">
        <v>0.01</v>
      </c>
      <c r="F1153" s="4">
        <v>0.00472</v>
      </c>
      <c r="G1153" s="3">
        <v>0.45</v>
      </c>
      <c r="H1153" s="5">
        <v>2114.436457</v>
      </c>
      <c r="J1153" s="4">
        <v>8.181818</v>
      </c>
      <c r="K1153" s="7">
        <v>1.0789</v>
      </c>
      <c r="L1153" s="3">
        <v>77.66</v>
      </c>
      <c r="M1153" s="3">
        <v>49.25</v>
      </c>
    </row>
    <row r="1154" spans="1:13">
      <c r="A1154" s="8" t="s">
        <v>1165</v>
      </c>
      <c r="B1154" s="2">
        <f>HYPERLINK("https://www.suredividend.com/sure-analysis-research-database/","MURPHY OIL CORP")</f>
        <v>0</v>
      </c>
      <c r="C1154" s="1" t="s">
        <v>1969</v>
      </c>
      <c r="D1154" s="3">
        <v>31.45</v>
      </c>
      <c r="E1154" s="4">
        <v>0.04</v>
      </c>
      <c r="F1154" s="4">
        <v>0.03389</v>
      </c>
      <c r="G1154" s="3">
        <v>1.3</v>
      </c>
      <c r="H1154" s="5">
        <v>4509.118976</v>
      </c>
      <c r="I1154" s="6">
        <v>31.6032</v>
      </c>
      <c r="J1154" s="4">
        <v>1.376613</v>
      </c>
      <c r="K1154" s="7">
        <v>0.7598</v>
      </c>
      <c r="L1154" s="3">
        <v>35.19</v>
      </c>
      <c r="M1154" s="3">
        <v>18.21</v>
      </c>
    </row>
    <row r="1155" spans="1:13">
      <c r="A1155" s="8" t="s">
        <v>1166</v>
      </c>
      <c r="B1155" s="2">
        <f>HYPERLINK("https://www.suredividend.com/sure-analysis-research-database/","MVB FINANCIAL CORP")</f>
        <v>0</v>
      </c>
      <c r="C1155" s="1" t="s">
        <v>1962</v>
      </c>
      <c r="D1155" s="3">
        <v>28.37</v>
      </c>
      <c r="E1155" s="4">
        <v>0.02</v>
      </c>
      <c r="F1155" s="4">
        <v>0.02503</v>
      </c>
      <c r="G1155" s="3">
        <v>0.68</v>
      </c>
      <c r="H1155" s="5">
        <v>356.765869</v>
      </c>
      <c r="I1155" s="6">
        <v>11.0952</v>
      </c>
      <c r="J1155" s="4">
        <v>0.273316</v>
      </c>
      <c r="K1155" s="7">
        <v>0.8685</v>
      </c>
      <c r="L1155" s="3">
        <v>28.96</v>
      </c>
      <c r="M1155" s="3">
        <v>15.25</v>
      </c>
    </row>
    <row r="1156" spans="1:13">
      <c r="A1156" s="8" t="s">
        <v>1167</v>
      </c>
      <c r="B1156" s="2">
        <f>HYPERLINK("https://www.suredividend.com/sure-analysis-research-database/","MICROVISION, INC.")</f>
        <v>0</v>
      </c>
      <c r="C1156" s="1" t="s">
        <v>1960</v>
      </c>
      <c r="D1156" s="3">
        <v>0.8812</v>
      </c>
      <c r="F1156" s="4">
        <v>0</v>
      </c>
      <c r="G1156" s="3">
        <v>0</v>
      </c>
      <c r="H1156" s="5">
        <v>269.024454</v>
      </c>
      <c r="J1156" s="4">
        <v>0</v>
      </c>
      <c r="K1156" s="7">
        <v>1.7412</v>
      </c>
      <c r="L1156" s="3">
        <v>1.95</v>
      </c>
      <c r="M1156" s="3">
        <v>0.8100000000000001</v>
      </c>
    </row>
    <row r="1157" spans="1:13">
      <c r="A1157" s="8" t="s">
        <v>1168</v>
      </c>
      <c r="B1157" s="2">
        <f>HYPERLINK("https://www.suredividend.com/sure-analysis-MWA/","Mueller Water Products, Inc.")</f>
        <v>0</v>
      </c>
      <c r="C1157" s="1" t="s">
        <v>1964</v>
      </c>
      <c r="D1157" s="3">
        <v>26.66</v>
      </c>
      <c r="E1157" s="4">
        <v>0.01050262565641411</v>
      </c>
      <c r="F1157" s="4">
        <v>0.01</v>
      </c>
      <c r="G1157" s="3">
        <v>0.27</v>
      </c>
      <c r="H1157" s="5">
        <v>4169.832097</v>
      </c>
      <c r="I1157" s="6">
        <v>21.7519</v>
      </c>
      <c r="J1157" s="4">
        <v>0.218571</v>
      </c>
      <c r="K1157" s="7">
        <v>1.133</v>
      </c>
      <c r="L1157" s="3">
        <v>28.34</v>
      </c>
      <c r="M1157" s="3">
        <v>21.83</v>
      </c>
    </row>
    <row r="1158" spans="1:13">
      <c r="A1158" s="8" t="s">
        <v>1169</v>
      </c>
      <c r="B1158" s="2">
        <f>HYPERLINK("https://www.suredividend.com/sure-analysis-research-database/","MAXCYTE, INC.")</f>
        <v>0</v>
      </c>
      <c r="C1158" s="1" t="s">
        <v>1959</v>
      </c>
      <c r="D1158" s="3">
        <v>1.225</v>
      </c>
      <c r="F1158" s="4">
        <v>0</v>
      </c>
      <c r="G1158" s="3">
        <v>0</v>
      </c>
      <c r="H1158" s="5">
        <v>131.209034</v>
      </c>
      <c r="J1158" s="4">
        <v>0</v>
      </c>
      <c r="K1158" s="7">
        <v>1.3186</v>
      </c>
      <c r="L1158" s="3">
        <v>5.2</v>
      </c>
      <c r="M1158" s="3">
        <v>1.19</v>
      </c>
    </row>
    <row r="1159" spans="1:13">
      <c r="A1159" s="8" t="s">
        <v>1170</v>
      </c>
      <c r="B1159" s="2">
        <f>HYPERLINK("https://www.suredividend.com/sure-analysis-research-database/","MAXLINEAR, INC")</f>
        <v>0</v>
      </c>
      <c r="C1159" s="1" t="s">
        <v>1960</v>
      </c>
      <c r="D1159" s="3">
        <v>20.33</v>
      </c>
      <c r="F1159" s="4">
        <v>0</v>
      </c>
      <c r="G1159" s="3">
        <v>0</v>
      </c>
      <c r="H1159" s="5">
        <v>1743.961767</v>
      </c>
      <c r="J1159" s="4">
        <v>0</v>
      </c>
      <c r="K1159" s="7">
        <v>2.2425</v>
      </c>
      <c r="L1159" s="3">
        <v>25.73</v>
      </c>
      <c r="M1159" s="3">
        <v>8.35</v>
      </c>
    </row>
    <row r="1160" spans="1:13">
      <c r="A1160" s="8" t="s">
        <v>1171</v>
      </c>
      <c r="B1160" s="2">
        <f>HYPERLINK("https://www.suredividend.com/sure-analysis-research-database/","MYERS INDUSTRIES INC")</f>
        <v>0</v>
      </c>
      <c r="C1160" s="1" t="s">
        <v>1963</v>
      </c>
      <c r="D1160" s="3">
        <v>20.61</v>
      </c>
      <c r="E1160" s="4">
        <v>0.03</v>
      </c>
      <c r="F1160" s="4">
        <v>0.02821</v>
      </c>
      <c r="G1160" s="3">
        <v>0.54</v>
      </c>
      <c r="H1160" s="5">
        <v>770.6030490000001</v>
      </c>
      <c r="I1160" s="6">
        <v>27.6251</v>
      </c>
      <c r="J1160" s="4">
        <v>0.734146</v>
      </c>
      <c r="K1160" s="7">
        <v>0.9163</v>
      </c>
      <c r="L1160" s="3">
        <v>20.21</v>
      </c>
      <c r="M1160" s="3">
        <v>8.84</v>
      </c>
    </row>
    <row r="1161" spans="1:13">
      <c r="A1161" s="8" t="s">
        <v>1172</v>
      </c>
      <c r="B1161" s="2">
        <f>HYPERLINK("https://www.suredividend.com/sure-analysis-research-database/","First Western Financial Inc")</f>
        <v>0</v>
      </c>
      <c r="C1161" s="1" t="s">
        <v>1962</v>
      </c>
      <c r="D1161" s="3">
        <v>27.245</v>
      </c>
      <c r="F1161" s="4">
        <v>0</v>
      </c>
      <c r="G1161" s="3">
        <v>0</v>
      </c>
      <c r="H1161" s="5">
        <v>264.920169</v>
      </c>
      <c r="I1161" s="6">
        <v>20.9888</v>
      </c>
      <c r="J1161" s="4">
        <v>0</v>
      </c>
      <c r="K1161" s="7">
        <v>1.1915</v>
      </c>
      <c r="L1161" s="3">
        <v>28</v>
      </c>
      <c r="M1161" s="3">
        <v>17.52</v>
      </c>
    </row>
    <row r="1162" spans="1:13">
      <c r="A1162" s="8" t="s">
        <v>1173</v>
      </c>
      <c r="B1162" s="2">
        <f>HYPERLINK("https://www.suredividend.com/sure-analysis-research-database/","MYRIAD GENETICS INC")</f>
        <v>0</v>
      </c>
      <c r="C1162" s="1" t="s">
        <v>1965</v>
      </c>
      <c r="D1162" s="3">
        <v>5.85</v>
      </c>
      <c r="F1162" s="4">
        <v>0</v>
      </c>
      <c r="G1162" s="3">
        <v>0</v>
      </c>
      <c r="H1162" s="5">
        <v>544.368136</v>
      </c>
      <c r="J1162" s="4">
        <v>0</v>
      </c>
      <c r="K1162" s="7">
        <v>1.7365</v>
      </c>
      <c r="L1162" s="3">
        <v>15.47</v>
      </c>
      <c r="M1162" s="3">
        <v>3.76</v>
      </c>
    </row>
    <row r="1163" spans="1:13">
      <c r="A1163" s="8" t="s">
        <v>1174</v>
      </c>
      <c r="B1163" s="2">
        <f>HYPERLINK("https://www.suredividend.com/sure-analysis-research-database/","PLAYSTUDIOS, Inc.")</f>
        <v>0</v>
      </c>
      <c r="C1163" s="1" t="s">
        <v>1959</v>
      </c>
      <c r="D1163" s="3">
        <v>0.6264</v>
      </c>
      <c r="F1163" s="4">
        <v>0</v>
      </c>
      <c r="G1163" s="3">
        <v>0</v>
      </c>
      <c r="H1163" s="5">
        <v>79.382447</v>
      </c>
      <c r="J1163" s="4">
        <v>0</v>
      </c>
      <c r="K1163" s="7">
        <v>1.1704</v>
      </c>
      <c r="L1163" s="3">
        <v>1.91</v>
      </c>
      <c r="M1163" s="3">
        <v>0.57</v>
      </c>
    </row>
    <row r="1164" spans="1:13">
      <c r="A1164" s="8" t="s">
        <v>1175</v>
      </c>
      <c r="B1164" s="2">
        <f>HYPERLINK("https://www.suredividend.com/sure-analysis-research-database/","MYR GROUP INC.")</f>
        <v>0</v>
      </c>
      <c r="C1164" s="1" t="s">
        <v>1964</v>
      </c>
      <c r="D1164" s="3">
        <v>259.77</v>
      </c>
      <c r="F1164" s="4">
        <v>0</v>
      </c>
      <c r="G1164" s="3">
        <v>0</v>
      </c>
      <c r="H1164" s="5">
        <v>3988.592196</v>
      </c>
      <c r="I1164" s="6">
        <v>40.6734</v>
      </c>
      <c r="J1164" s="4">
        <v>0</v>
      </c>
      <c r="K1164" s="7">
        <v>1.3597</v>
      </c>
      <c r="L1164" s="3">
        <v>252.53</v>
      </c>
      <c r="M1164" s="3">
        <v>97.72</v>
      </c>
    </row>
    <row r="1165" spans="1:13">
      <c r="A1165" s="8" t="s">
        <v>1176</v>
      </c>
      <c r="B1165" s="2">
        <f>HYPERLINK("https://www.suredividend.com/sure-analysis-research-database/","N-able, Inc.")</f>
        <v>0</v>
      </c>
      <c r="C1165" s="1" t="s">
        <v>1959</v>
      </c>
      <c r="D1165" s="3">
        <v>6.31</v>
      </c>
      <c r="F1165" s="4">
        <v>0</v>
      </c>
      <c r="G1165" s="3">
        <v>0</v>
      </c>
      <c r="H1165" s="5">
        <v>1175.739795</v>
      </c>
      <c r="J1165" s="4">
        <v>0</v>
      </c>
      <c r="K1165" s="7">
        <v>0.8071</v>
      </c>
      <c r="L1165" s="3">
        <v>10.41</v>
      </c>
      <c r="M1165" s="3">
        <v>6.07</v>
      </c>
    </row>
    <row r="1166" spans="1:13">
      <c r="A1166" s="8" t="s">
        <v>1177</v>
      </c>
      <c r="B1166" s="2">
        <f>HYPERLINK("https://www.suredividend.com/sure-analysis-research-database/","ChromaDex Corp.")</f>
        <v>0</v>
      </c>
      <c r="C1166" s="1" t="s">
        <v>1959</v>
      </c>
      <c r="D1166" s="3">
        <v>6.21</v>
      </c>
      <c r="F1166" s="4">
        <v>0</v>
      </c>
      <c r="G1166" s="3">
        <v>0</v>
      </c>
      <c r="H1166" s="5">
        <v>494.798062</v>
      </c>
      <c r="I1166" s="6">
        <v>24.2204</v>
      </c>
      <c r="J1166" s="4">
        <v>0</v>
      </c>
      <c r="K1166" s="7">
        <v>1.0441</v>
      </c>
      <c r="L1166" s="3">
        <v>14.69</v>
      </c>
      <c r="M1166" s="3">
        <v>5.25</v>
      </c>
    </row>
    <row r="1167" spans="1:13">
      <c r="A1167" s="8" t="s">
        <v>1178</v>
      </c>
      <c r="B1167" s="2">
        <f>HYPERLINK("https://www.suredividend.com/sure-analysis-research-database/","NORDIC AMERICAN TANKERS Ltd")</f>
        <v>0</v>
      </c>
      <c r="C1167" s="1" t="s">
        <v>1964</v>
      </c>
      <c r="D1167" s="3">
        <v>4.09</v>
      </c>
      <c r="E1167" s="4">
        <v>0.1</v>
      </c>
      <c r="F1167" s="4">
        <v>0.07553</v>
      </c>
      <c r="G1167" s="3">
        <v>0.4</v>
      </c>
      <c r="H1167" s="5">
        <v>866.060212</v>
      </c>
      <c r="I1167" s="6">
        <v>18.5678</v>
      </c>
      <c r="J1167" s="4">
        <v>1.880132</v>
      </c>
      <c r="K1167" s="7">
        <v>0.3937</v>
      </c>
      <c r="L1167" s="3">
        <v>4.19</v>
      </c>
      <c r="M1167" s="3">
        <v>1.94</v>
      </c>
    </row>
    <row r="1168" spans="1:13">
      <c r="A1168" s="8" t="s">
        <v>1179</v>
      </c>
      <c r="B1168" s="2">
        <f>HYPERLINK("https://www.suredividend.com/sure-analysis-research-database/","NATHANS FAMOUS, INC.")</f>
        <v>0</v>
      </c>
      <c r="C1168" s="1" t="s">
        <v>1963</v>
      </c>
      <c r="D1168" s="3">
        <v>100.79</v>
      </c>
      <c r="E1168" s="4">
        <v>0.04</v>
      </c>
      <c r="F1168" s="4">
        <v>0.02574</v>
      </c>
      <c r="G1168" s="3">
        <v>4.5</v>
      </c>
      <c r="H1168" s="5">
        <v>412.181713</v>
      </c>
      <c r="I1168" s="6">
        <v>18.0417</v>
      </c>
      <c r="J1168" s="4">
        <v>0.357874</v>
      </c>
      <c r="K1168" s="7">
        <v>0.5956</v>
      </c>
      <c r="L1168" s="3">
        <v>113.81</v>
      </c>
      <c r="M1168" s="3">
        <v>74.45999999999999</v>
      </c>
    </row>
    <row r="1169" spans="1:13">
      <c r="A1169" s="8" t="s">
        <v>1180</v>
      </c>
      <c r="B1169" s="2">
        <f>HYPERLINK("https://www.suredividend.com/sure-analysis-research-database/","NCR Atleos Corp")</f>
        <v>0</v>
      </c>
      <c r="C1169" s="1" t="s">
        <v>1959</v>
      </c>
      <c r="D1169" s="3">
        <v>37.81</v>
      </c>
      <c r="F1169" s="4">
        <v>0</v>
      </c>
      <c r="G1169" s="3">
        <v>0</v>
      </c>
      <c r="H1169" s="5">
        <v>2795.054424</v>
      </c>
      <c r="I1169" s="6">
        <v>22.3604</v>
      </c>
      <c r="J1169" s="4">
        <v>0</v>
      </c>
      <c r="K1169" s="7">
        <v>0.7784</v>
      </c>
      <c r="L1169" s="3">
        <v>42.23</v>
      </c>
      <c r="M1169" s="3">
        <v>22.3</v>
      </c>
    </row>
    <row r="1170" spans="1:13">
      <c r="A1170" s="8" t="s">
        <v>1181</v>
      </c>
      <c r="B1170" s="2">
        <f>HYPERLINK("https://www.suredividend.com/sure-analysis-research-database/","NATURES SUNSHINE PRODUCTS INC")</f>
        <v>0</v>
      </c>
      <c r="C1170" s="1" t="s">
        <v>1966</v>
      </c>
      <c r="D1170" s="3">
        <v>24.24</v>
      </c>
      <c r="F1170" s="4">
        <v>0.009259999999999999</v>
      </c>
      <c r="G1170" s="3">
        <v>1</v>
      </c>
      <c r="H1170" s="5">
        <v>423.917491</v>
      </c>
      <c r="I1170" s="6">
        <v>28.087</v>
      </c>
      <c r="J1170" s="4">
        <v>0</v>
      </c>
      <c r="K1170" s="7">
        <v>0.5925</v>
      </c>
      <c r="L1170" s="3">
        <v>24.25</v>
      </c>
      <c r="M1170" s="3">
        <v>11.01</v>
      </c>
    </row>
    <row r="1171" spans="1:13">
      <c r="A1171" s="8" t="s">
        <v>1182</v>
      </c>
      <c r="B1171" s="2">
        <f>HYPERLINK("https://www.suredividend.com/sure-analysis-research-database/","Nautilus Biotechnology, Inc.")</f>
        <v>0</v>
      </c>
      <c r="C1171" s="1" t="s">
        <v>1959</v>
      </c>
      <c r="D1171" s="3">
        <v>2.19</v>
      </c>
      <c r="F1171" s="4">
        <v>0</v>
      </c>
      <c r="G1171" s="3">
        <v>0</v>
      </c>
      <c r="H1171" s="5">
        <v>275.345166</v>
      </c>
      <c r="J1171" s="4">
        <v>0</v>
      </c>
      <c r="K1171" s="7">
        <v>1.94</v>
      </c>
      <c r="L1171" s="3">
        <v>2.54</v>
      </c>
      <c r="M1171" s="3">
        <v>0.62</v>
      </c>
    </row>
    <row r="1172" spans="1:13">
      <c r="A1172" s="8" t="s">
        <v>1183</v>
      </c>
      <c r="B1172" s="2">
        <f>HYPERLINK("https://www.suredividend.com/sure-analysis-research-database/","NAVIENT CORP")</f>
        <v>0</v>
      </c>
      <c r="C1172" s="1" t="s">
        <v>1962</v>
      </c>
      <c r="D1172" s="3">
        <v>12.255</v>
      </c>
      <c r="E1172" s="4">
        <v>0.05</v>
      </c>
      <c r="F1172" s="4">
        <v>0.04984</v>
      </c>
      <c r="G1172" s="3">
        <v>0.64</v>
      </c>
      <c r="H1172" s="5">
        <v>1194.457136</v>
      </c>
      <c r="K1172" s="7">
        <v>1.1219</v>
      </c>
      <c r="L1172" s="3">
        <v>15.68</v>
      </c>
      <c r="M1172" s="3">
        <v>10.15</v>
      </c>
    </row>
    <row r="1173" spans="1:13">
      <c r="A1173" s="8" t="s">
        <v>1184</v>
      </c>
      <c r="B1173" s="2">
        <f>HYPERLINK("https://www.suredividend.com/sure-analysis-research-database/","NB Bancorp Inc.")</f>
        <v>0</v>
      </c>
      <c r="C1173" s="1" t="s">
        <v>1959</v>
      </c>
      <c r="D1173" s="3">
        <v>20.45</v>
      </c>
      <c r="F1173" s="4">
        <v>0.0014</v>
      </c>
      <c r="G1173" s="3">
        <v>0.14</v>
      </c>
      <c r="K1173" s="7">
        <v>0.4637</v>
      </c>
      <c r="L1173" s="3">
        <v>21.58</v>
      </c>
      <c r="M1173" s="3">
        <v>14.97</v>
      </c>
    </row>
    <row r="1174" spans="1:13">
      <c r="A1174" s="8" t="s">
        <v>1185</v>
      </c>
      <c r="B1174" s="2">
        <f>HYPERLINK("https://www.suredividend.com/sure-analysis-NBHC/","National Bank Holdings Corp")</f>
        <v>0</v>
      </c>
      <c r="C1174" s="1" t="s">
        <v>1962</v>
      </c>
      <c r="D1174" s="3">
        <v>42.035</v>
      </c>
      <c r="E1174" s="4">
        <v>0.02949922683478054</v>
      </c>
      <c r="F1174" s="4">
        <v>0.02617</v>
      </c>
      <c r="G1174" s="3">
        <v>1.2</v>
      </c>
      <c r="H1174" s="5">
        <v>1589.192786</v>
      </c>
      <c r="I1174" s="6">
        <v>13.0559</v>
      </c>
      <c r="J1174" s="4">
        <v>0.37271</v>
      </c>
      <c r="K1174" s="7">
        <v>0.8478</v>
      </c>
      <c r="L1174" s="3">
        <v>43.47</v>
      </c>
      <c r="M1174" s="3">
        <v>32.05</v>
      </c>
    </row>
    <row r="1175" spans="1:13">
      <c r="A1175" s="8" t="s">
        <v>1186</v>
      </c>
      <c r="B1175" s="2">
        <f>HYPERLINK("https://www.suredividend.com/sure-analysis-research-database/","Northeast Bank")</f>
        <v>0</v>
      </c>
      <c r="C1175" s="1" t="s">
        <v>1962</v>
      </c>
      <c r="D1175" s="3">
        <v>117.99</v>
      </c>
      <c r="F1175" s="4">
        <v>0.00039</v>
      </c>
      <c r="G1175" s="3">
        <v>0.04</v>
      </c>
      <c r="H1175" s="5">
        <v>1066.539351</v>
      </c>
      <c r="I1175" s="6">
        <v>56.6374</v>
      </c>
      <c r="K1175" s="7">
        <v>0.7876</v>
      </c>
      <c r="L1175" s="3">
        <v>119.95</v>
      </c>
      <c r="M1175" s="3">
        <v>78.14</v>
      </c>
    </row>
    <row r="1176" spans="1:13">
      <c r="A1176" s="8" t="s">
        <v>1187</v>
      </c>
      <c r="B1176" s="2">
        <f>HYPERLINK("https://www.suredividend.com/sure-analysis-research-database/","NABORS INDUSTRIES LTD")</f>
        <v>0</v>
      </c>
      <c r="C1176" s="1" t="s">
        <v>1969</v>
      </c>
      <c r="D1176" s="3">
        <v>65.83</v>
      </c>
      <c r="F1176" s="4">
        <v>0</v>
      </c>
      <c r="G1176" s="3">
        <v>2</v>
      </c>
      <c r="H1176" s="5">
        <v>1034.380249</v>
      </c>
      <c r="I1176" s="6">
        <v>4.6467</v>
      </c>
      <c r="J1176" s="4">
        <v>0.598735</v>
      </c>
      <c r="K1176" s="7">
        <v>1.3548</v>
      </c>
      <c r="L1176" s="3">
        <v>68.34</v>
      </c>
      <c r="M1176" s="3">
        <v>23.27</v>
      </c>
    </row>
    <row r="1177" spans="1:13">
      <c r="A1177" s="8" t="s">
        <v>1188</v>
      </c>
      <c r="B1177" s="2">
        <f>HYPERLINK("https://www.suredividend.com/sure-analysis-NBTB/","NBT BANCORP INC")</f>
        <v>0</v>
      </c>
      <c r="C1177" s="1" t="s">
        <v>1962</v>
      </c>
      <c r="D1177" s="3">
        <v>45.17</v>
      </c>
      <c r="E1177" s="4">
        <v>0.03276510958600841</v>
      </c>
      <c r="F1177" s="4">
        <v>0.02912</v>
      </c>
      <c r="G1177" s="3">
        <v>1.42</v>
      </c>
      <c r="H1177" s="5">
        <v>2364.123572</v>
      </c>
      <c r="I1177" s="6">
        <v>15.7891</v>
      </c>
      <c r="J1177" s="4">
        <v>0.462964</v>
      </c>
      <c r="K1177" s="7">
        <v>0.7825</v>
      </c>
      <c r="L1177" s="3">
        <v>47.6</v>
      </c>
      <c r="M1177" s="3">
        <v>36.37</v>
      </c>
    </row>
    <row r="1178" spans="1:13">
      <c r="A1178" s="8" t="s">
        <v>1189</v>
      </c>
      <c r="B1178" s="2">
        <f>HYPERLINK("https://www.suredividend.com/sure-analysis-NC/","NACCO INDUSTRIES INC")</f>
        <v>0</v>
      </c>
      <c r="C1178" s="1" t="s">
        <v>1969</v>
      </c>
      <c r="D1178" s="3">
        <v>49.54</v>
      </c>
      <c r="E1178" s="4">
        <v>0.02038756560355269</v>
      </c>
      <c r="F1178" s="4">
        <v>0.01884</v>
      </c>
      <c r="G1178" s="3">
        <v>0.99</v>
      </c>
      <c r="H1178" s="5">
        <v>371.505759</v>
      </c>
      <c r="I1178" s="6">
        <v>12.8203</v>
      </c>
      <c r="J1178" s="4">
        <v>0.245428</v>
      </c>
      <c r="K1178" s="7">
        <v>0.7093</v>
      </c>
      <c r="L1178" s="3">
        <v>53.6</v>
      </c>
      <c r="M1178" s="3">
        <v>29.45</v>
      </c>
    </row>
    <row r="1179" spans="1:13">
      <c r="A1179" s="8" t="s">
        <v>1190</v>
      </c>
      <c r="B1179" s="2">
        <f>HYPERLINK("https://www.suredividend.com/sure-analysis-research-database/","National CineMedia, Inc.")</f>
        <v>0</v>
      </c>
      <c r="C1179" s="1" t="s">
        <v>1968</v>
      </c>
      <c r="D1179" s="3">
        <v>3.8</v>
      </c>
      <c r="E1179" s="4">
        <v>0.03</v>
      </c>
      <c r="F1179" s="4">
        <v>0.1602</v>
      </c>
      <c r="G1179" s="3">
        <v>0.12</v>
      </c>
      <c r="H1179" s="5">
        <v>357.496746</v>
      </c>
      <c r="K1179" s="7">
        <v>1.0937</v>
      </c>
      <c r="L1179" s="3">
        <v>7.07</v>
      </c>
      <c r="M1179" s="3">
        <v>3.68</v>
      </c>
    </row>
    <row r="1180" spans="1:13">
      <c r="A1180" s="8" t="s">
        <v>1191</v>
      </c>
      <c r="B1180" s="2">
        <f>HYPERLINK("https://www.suredividend.com/sure-analysis-research-database/","Noble Corp plc")</f>
        <v>0</v>
      </c>
      <c r="C1180" s="1" t="s">
        <v>1969</v>
      </c>
      <c r="D1180" s="3">
        <v>34.1</v>
      </c>
      <c r="E1180" s="4">
        <v>0.06</v>
      </c>
      <c r="F1180" s="4">
        <v>0.03014</v>
      </c>
      <c r="G1180" s="3">
        <v>2</v>
      </c>
      <c r="H1180" s="5">
        <v>5005.63932</v>
      </c>
      <c r="I1180" s="6">
        <v>22.0777</v>
      </c>
      <c r="J1180" s="4">
        <v>1.411925</v>
      </c>
      <c r="K1180" s="7">
        <v>1.3753</v>
      </c>
      <c r="L1180" s="3">
        <v>33.46</v>
      </c>
      <c r="M1180" s="3">
        <v>16.53</v>
      </c>
    </row>
    <row r="1181" spans="1:13">
      <c r="A1181" s="8" t="s">
        <v>1192</v>
      </c>
      <c r="B1181" s="2">
        <f>HYPERLINK("https://www.suredividend.com/sure-analysis-research-database/","NorthEast Community Bancorp, Inc./MD/")</f>
        <v>0</v>
      </c>
      <c r="C1181" s="1" t="s">
        <v>1962</v>
      </c>
      <c r="D1181" s="3">
        <v>23.81</v>
      </c>
      <c r="E1181" s="4">
        <v>0.04</v>
      </c>
      <c r="F1181" s="4">
        <v>0.02042</v>
      </c>
      <c r="G1181" s="3">
        <v>1</v>
      </c>
      <c r="H1181" s="5">
        <v>333.848312</v>
      </c>
      <c r="I1181" s="6">
        <v>7.619</v>
      </c>
      <c r="J1181" s="4">
        <v>0.271989</v>
      </c>
      <c r="K1181" s="7">
        <v>0.7819</v>
      </c>
      <c r="L1181" s="3">
        <v>24.78</v>
      </c>
      <c r="M1181" s="3">
        <v>19.05</v>
      </c>
    </row>
    <row r="1182" spans="1:13">
      <c r="A1182" s="8" t="s">
        <v>1193</v>
      </c>
      <c r="B1182" s="2">
        <f>HYPERLINK("https://www.suredividend.com/sure-analysis-research-database/","NEOGENOMICS INC")</f>
        <v>0</v>
      </c>
      <c r="C1182" s="1" t="s">
        <v>1965</v>
      </c>
      <c r="D1182" s="3">
        <v>12.69</v>
      </c>
      <c r="F1182" s="4">
        <v>0</v>
      </c>
      <c r="G1182" s="3">
        <v>0</v>
      </c>
      <c r="H1182" s="5">
        <v>1641.931195</v>
      </c>
      <c r="J1182" s="4">
        <v>0</v>
      </c>
      <c r="K1182" s="7">
        <v>1.2532</v>
      </c>
      <c r="L1182" s="3">
        <v>15.32</v>
      </c>
      <c r="M1182" s="3">
        <v>4.72</v>
      </c>
    </row>
    <row r="1183" spans="1:13">
      <c r="A1183" s="8" t="s">
        <v>1194</v>
      </c>
      <c r="B1183" s="2">
        <f>HYPERLINK("https://www.suredividend.com/sure-analysis-research-database/","NEOGEN CORP")</f>
        <v>0</v>
      </c>
      <c r="C1183" s="1" t="s">
        <v>1965</v>
      </c>
      <c r="D1183" s="3">
        <v>9.865</v>
      </c>
      <c r="F1183" s="4">
        <v>0</v>
      </c>
      <c r="G1183" s="3">
        <v>0</v>
      </c>
      <c r="H1183" s="5">
        <v>2146.981432</v>
      </c>
      <c r="J1183" s="4">
        <v>0</v>
      </c>
      <c r="K1183" s="7">
        <v>1.1831</v>
      </c>
      <c r="L1183" s="3">
        <v>12.07</v>
      </c>
      <c r="M1183" s="3">
        <v>3.87</v>
      </c>
    </row>
    <row r="1184" spans="1:13">
      <c r="A1184" s="8" t="s">
        <v>1195</v>
      </c>
      <c r="B1184" s="2">
        <f>HYPERLINK("https://www.suredividend.com/sure-analysis-research-database/","NewtekOne, Inc.")</f>
        <v>0</v>
      </c>
      <c r="C1184" s="1" t="s">
        <v>1962</v>
      </c>
      <c r="D1184" s="3">
        <v>13.86</v>
      </c>
      <c r="E1184" s="4">
        <v>0.07000000000000001</v>
      </c>
      <c r="F1184" s="4">
        <v>0.13612</v>
      </c>
      <c r="G1184" s="3">
        <v>0.95</v>
      </c>
      <c r="H1184" s="5">
        <v>399.222417</v>
      </c>
      <c r="I1184" s="6">
        <v>6.9282</v>
      </c>
      <c r="J1184" s="4">
        <v>0.361127</v>
      </c>
      <c r="K1184" s="7">
        <v>1.1842</v>
      </c>
      <c r="L1184" s="3">
        <v>14.91</v>
      </c>
      <c r="M1184" s="3">
        <v>8.52</v>
      </c>
    </row>
    <row r="1185" spans="1:13">
      <c r="A1185" s="8" t="s">
        <v>1196</v>
      </c>
      <c r="B1185" s="2">
        <f>HYPERLINK("https://www.suredividend.com/sure-analysis-research-database/","NextDecade Corp.")</f>
        <v>0</v>
      </c>
      <c r="C1185" s="1" t="s">
        <v>1969</v>
      </c>
      <c r="D1185" s="3">
        <v>4.96</v>
      </c>
      <c r="F1185" s="4">
        <v>0</v>
      </c>
      <c r="G1185" s="3">
        <v>0</v>
      </c>
      <c r="H1185" s="5">
        <v>1300.174913</v>
      </c>
      <c r="J1185" s="4">
        <v>0</v>
      </c>
      <c r="K1185" s="7">
        <v>1.47</v>
      </c>
      <c r="L1185" s="3">
        <v>12.12</v>
      </c>
      <c r="M1185" s="3">
        <v>4.76</v>
      </c>
    </row>
    <row r="1186" spans="1:13">
      <c r="A1186" s="8" t="s">
        <v>1197</v>
      </c>
      <c r="B1186" s="2">
        <f>HYPERLINK("https://www.suredividend.com/sure-analysis-research-database/","Northfield Bancorp, Inc.")</f>
        <v>0</v>
      </c>
      <c r="C1186" s="1" t="s">
        <v>1962</v>
      </c>
      <c r="D1186" s="3">
        <v>12.32</v>
      </c>
      <c r="E1186" s="4">
        <v>0.04</v>
      </c>
      <c r="F1186" s="4">
        <v>0.04503</v>
      </c>
      <c r="G1186" s="3">
        <v>0.52</v>
      </c>
      <c r="H1186" s="5">
        <v>514.994418</v>
      </c>
      <c r="I1186" s="6">
        <v>13.0547</v>
      </c>
      <c r="J1186" s="4">
        <v>0.54014</v>
      </c>
      <c r="K1186" s="7">
        <v>1.0217</v>
      </c>
      <c r="L1186" s="3">
        <v>12.44</v>
      </c>
      <c r="M1186" s="3">
        <v>9.06</v>
      </c>
    </row>
    <row r="1187" spans="1:13">
      <c r="A1187" s="8" t="s">
        <v>1198</v>
      </c>
      <c r="B1187" s="2">
        <f>HYPERLINK("https://www.suredividend.com/sure-analysis-research-database/","NOVAGOLD RESOURCES INC")</f>
        <v>0</v>
      </c>
      <c r="C1187" s="1" t="s">
        <v>1970</v>
      </c>
      <c r="D1187" s="3">
        <v>9.81</v>
      </c>
      <c r="F1187" s="4">
        <v>0</v>
      </c>
      <c r="G1187" s="3">
        <v>0</v>
      </c>
      <c r="H1187" s="5">
        <v>4065.20061</v>
      </c>
      <c r="J1187" s="4">
        <v>0</v>
      </c>
      <c r="K1187" s="7">
        <v>1.2194</v>
      </c>
      <c r="L1187" s="3">
        <v>10.9</v>
      </c>
      <c r="M1187" s="3">
        <v>2.26</v>
      </c>
    </row>
    <row r="1188" spans="1:13">
      <c r="A1188" s="8" t="s">
        <v>1199</v>
      </c>
      <c r="B1188" s="2">
        <f>HYPERLINK("https://www.suredividend.com/sure-analysis-research-database/","Neurogene Inc.")</f>
        <v>0</v>
      </c>
      <c r="C1188" s="1" t="s">
        <v>1959</v>
      </c>
      <c r="D1188" s="3">
        <v>18.11</v>
      </c>
      <c r="F1188" s="4">
        <v>0</v>
      </c>
      <c r="G1188" s="3">
        <v>0</v>
      </c>
      <c r="H1188" s="5">
        <v>387.593972</v>
      </c>
      <c r="J1188" s="4">
        <v>0</v>
      </c>
      <c r="K1188" s="7">
        <v>3.8913</v>
      </c>
      <c r="L1188" s="3">
        <v>37.27</v>
      </c>
      <c r="M1188" s="3">
        <v>6.88</v>
      </c>
    </row>
    <row r="1189" spans="1:13">
      <c r="A1189" s="8" t="s">
        <v>1200</v>
      </c>
      <c r="B1189" s="2">
        <f>HYPERLINK("https://www.suredividend.com/sure-analysis-research-database/","NATURAL GAS SERVICES GROUP INC")</f>
        <v>0</v>
      </c>
      <c r="C1189" s="1" t="s">
        <v>1969</v>
      </c>
      <c r="D1189" s="3">
        <v>34.6</v>
      </c>
      <c r="E1189" s="4">
        <v>0.01</v>
      </c>
      <c r="F1189" s="4">
        <v>0.00122</v>
      </c>
      <c r="G1189" s="3">
        <v>0.21</v>
      </c>
      <c r="H1189" s="5">
        <v>435.261596</v>
      </c>
      <c r="I1189" s="6">
        <v>23.2872</v>
      </c>
      <c r="J1189" s="4">
        <v>0</v>
      </c>
      <c r="K1189" s="7">
        <v>0.9370000000000001</v>
      </c>
      <c r="L1189" s="3">
        <v>35.12</v>
      </c>
      <c r="M1189" s="3">
        <v>16.6</v>
      </c>
    </row>
    <row r="1190" spans="1:13">
      <c r="A1190" s="8" t="s">
        <v>1201</v>
      </c>
      <c r="B1190" s="2">
        <f>HYPERLINK("https://www.suredividend.com/sure-analysis-research-database/","Natural Grocers by Vitamin Cottage, Inc.")</f>
        <v>0</v>
      </c>
      <c r="C1190" s="1" t="s">
        <v>1966</v>
      </c>
      <c r="D1190" s="3">
        <v>26.44</v>
      </c>
      <c r="E1190" s="4">
        <v>0.02</v>
      </c>
      <c r="F1190" s="4">
        <v>0.0248</v>
      </c>
      <c r="G1190" s="3">
        <v>0.51</v>
      </c>
      <c r="H1190" s="5">
        <v>611.067957</v>
      </c>
      <c r="I1190" s="6">
        <v>13.1571</v>
      </c>
      <c r="J1190" s="4">
        <v>0.237038</v>
      </c>
      <c r="K1190" s="7">
        <v>0.6303</v>
      </c>
      <c r="L1190" s="3">
        <v>60.55</v>
      </c>
      <c r="M1190" s="3">
        <v>23.47</v>
      </c>
    </row>
    <row r="1191" spans="1:13">
      <c r="A1191" s="8" t="s">
        <v>1202</v>
      </c>
      <c r="B1191" s="2">
        <f>HYPERLINK("https://www.suredividend.com/sure-analysis-research-database/","Ingevity Corp")</f>
        <v>0</v>
      </c>
      <c r="C1191" s="1" t="s">
        <v>1970</v>
      </c>
      <c r="D1191" s="3">
        <v>67.06</v>
      </c>
      <c r="F1191" s="4">
        <v>0</v>
      </c>
      <c r="G1191" s="3">
        <v>0</v>
      </c>
      <c r="H1191" s="5">
        <v>2411.747986</v>
      </c>
      <c r="J1191" s="4">
        <v>0</v>
      </c>
      <c r="K1191" s="7">
        <v>1.6766</v>
      </c>
      <c r="L1191" s="3">
        <v>67.8</v>
      </c>
      <c r="M1191" s="3">
        <v>28.49</v>
      </c>
    </row>
    <row r="1192" spans="1:13">
      <c r="A1192" s="8" t="s">
        <v>1203</v>
      </c>
      <c r="B1192" s="2">
        <f>HYPERLINK("https://www.suredividend.com/sure-analysis-NHC/","NATIONAL HEALTHCARE CORP")</f>
        <v>0</v>
      </c>
      <c r="C1192" s="1" t="s">
        <v>1965</v>
      </c>
      <c r="D1192" s="3">
        <v>143.42</v>
      </c>
      <c r="E1192" s="4">
        <v>0.01784967229117278</v>
      </c>
      <c r="F1192" s="4">
        <v>0.01734</v>
      </c>
      <c r="G1192" s="3">
        <v>2.53</v>
      </c>
      <c r="H1192" s="5">
        <v>2230.938229</v>
      </c>
      <c r="I1192" s="6">
        <v>22.0346</v>
      </c>
      <c r="J1192" s="4">
        <v>0.371864</v>
      </c>
      <c r="K1192" s="7">
        <v>0.6186</v>
      </c>
      <c r="L1192" s="3">
        <v>144.27</v>
      </c>
      <c r="M1192" s="3">
        <v>87.73999999999999</v>
      </c>
    </row>
    <row r="1193" spans="1:13">
      <c r="A1193" s="8" t="s">
        <v>1204</v>
      </c>
      <c r="B1193" s="2">
        <f>HYPERLINK("https://www.suredividend.com/sure-analysis-research-database/","NATIONAL HEALTH INVESTORS INC")</f>
        <v>0</v>
      </c>
      <c r="C1193" s="1" t="s">
        <v>1961</v>
      </c>
      <c r="D1193" s="3">
        <v>80.53</v>
      </c>
      <c r="E1193" s="4">
        <v>0.04</v>
      </c>
      <c r="F1193" s="4">
        <v>0.04778</v>
      </c>
      <c r="G1193" s="3">
        <v>3.64</v>
      </c>
      <c r="H1193" s="5">
        <v>3867.293592</v>
      </c>
      <c r="I1193" s="6">
        <v>26.2908</v>
      </c>
      <c r="J1193" s="4">
        <v>1.139958</v>
      </c>
      <c r="K1193" s="7">
        <v>0.4586</v>
      </c>
      <c r="L1193" s="3">
        <v>81.48</v>
      </c>
      <c r="M1193" s="3">
        <v>62.13</v>
      </c>
    </row>
    <row r="1194" spans="1:13">
      <c r="A1194" s="8" t="s">
        <v>1205</v>
      </c>
      <c r="B1194" s="2">
        <f>HYPERLINK("https://www.suredividend.com/sure-analysis-research-database/","NICOLET BANKSHARES INC")</f>
        <v>0</v>
      </c>
      <c r="C1194" s="1" t="s">
        <v>1959</v>
      </c>
      <c r="D1194" s="3">
        <v>145.065</v>
      </c>
      <c r="E1194" s="4">
        <v>0.01</v>
      </c>
      <c r="F1194" s="4">
        <v>0.0049</v>
      </c>
      <c r="G1194" s="3">
        <v>1.24</v>
      </c>
      <c r="H1194" s="5">
        <v>2145.251443</v>
      </c>
      <c r="I1194" s="6">
        <v>14.811</v>
      </c>
      <c r="J1194" s="4">
        <v>0.125847</v>
      </c>
      <c r="K1194" s="7">
        <v>0.8672</v>
      </c>
      <c r="L1194" s="3">
        <v>141.24</v>
      </c>
      <c r="M1194" s="3">
        <v>97.18000000000001</v>
      </c>
    </row>
    <row r="1195" spans="1:13">
      <c r="A1195" s="8" t="s">
        <v>1206</v>
      </c>
      <c r="B1195" s="2">
        <f>HYPERLINK("https://www.suredividend.com/sure-analysis-NJR/","NEW JERSEY RESOURCES CORP")</f>
        <v>0</v>
      </c>
      <c r="C1195" s="1" t="s">
        <v>1967</v>
      </c>
      <c r="D1195" s="3">
        <v>47.96</v>
      </c>
      <c r="E1195" s="4">
        <v>0.03961634695579649</v>
      </c>
      <c r="F1195" s="4">
        <v>0.03539</v>
      </c>
      <c r="G1195" s="3">
        <v>1.85</v>
      </c>
      <c r="H1195" s="5">
        <v>4832.682341</v>
      </c>
      <c r="I1195" s="6">
        <v>14.399</v>
      </c>
      <c r="J1195" s="4">
        <v>0.536506</v>
      </c>
      <c r="K1195" s="7">
        <v>0.2463</v>
      </c>
      <c r="L1195" s="3">
        <v>49.23</v>
      </c>
      <c r="M1195" s="3">
        <v>42.85</v>
      </c>
    </row>
    <row r="1196" spans="1:13">
      <c r="A1196" s="8" t="s">
        <v>1207</v>
      </c>
      <c r="B1196" s="2">
        <f>HYPERLINK("https://www.suredividend.com/sure-analysis-research-database/","NATIONAL BANKSHARES INC")</f>
        <v>0</v>
      </c>
      <c r="C1196" s="1" t="s">
        <v>1962</v>
      </c>
      <c r="D1196" s="3">
        <v>35.53</v>
      </c>
      <c r="E1196" s="4">
        <v>0.04</v>
      </c>
      <c r="F1196" s="4">
        <v>0.0519</v>
      </c>
      <c r="G1196" s="3">
        <v>1.51</v>
      </c>
      <c r="H1196" s="5">
        <v>226.693296</v>
      </c>
      <c r="I1196" s="6">
        <v>16.439</v>
      </c>
      <c r="J1196" s="4">
        <v>0.737561</v>
      </c>
      <c r="K1196" s="7">
        <v>0.5503</v>
      </c>
      <c r="L1196" s="3">
        <v>35.71</v>
      </c>
      <c r="M1196" s="3">
        <v>22.5</v>
      </c>
    </row>
    <row r="1197" spans="1:13">
      <c r="A1197" s="8" t="s">
        <v>1208</v>
      </c>
      <c r="B1197" s="2">
        <f>HYPERLINK("https://www.suredividend.com/sure-analysis-research-database/","NEKTAR THERAPEUTICS")</f>
        <v>0</v>
      </c>
      <c r="C1197" s="1" t="s">
        <v>1965</v>
      </c>
      <c r="D1197" s="3">
        <v>36.92</v>
      </c>
      <c r="F1197" s="4">
        <v>0</v>
      </c>
      <c r="G1197" s="3">
        <v>0</v>
      </c>
      <c r="H1197" s="5">
        <v>751.011466</v>
      </c>
      <c r="J1197" s="4">
        <v>0</v>
      </c>
      <c r="K1197" s="7">
        <v>3.6177</v>
      </c>
      <c r="L1197" s="3">
        <v>66.92</v>
      </c>
      <c r="M1197" s="3">
        <v>6.48</v>
      </c>
    </row>
    <row r="1198" spans="1:13">
      <c r="A1198" s="8" t="s">
        <v>1209</v>
      </c>
      <c r="B1198" s="2">
        <f>HYPERLINK("https://www.suredividend.com/sure-analysis-research-database/","Nkarta, Inc.")</f>
        <v>0</v>
      </c>
      <c r="C1198" s="1" t="s">
        <v>1959</v>
      </c>
      <c r="D1198" s="3">
        <v>2.2</v>
      </c>
      <c r="F1198" s="4">
        <v>0</v>
      </c>
      <c r="G1198" s="3">
        <v>0</v>
      </c>
      <c r="H1198" s="5">
        <v>156.264926</v>
      </c>
      <c r="J1198" s="4">
        <v>0</v>
      </c>
      <c r="K1198" s="7">
        <v>1.3319</v>
      </c>
      <c r="L1198" s="3">
        <v>2.74</v>
      </c>
      <c r="M1198" s="3">
        <v>1.31</v>
      </c>
    </row>
    <row r="1199" spans="1:13">
      <c r="A1199" s="8" t="s">
        <v>1210</v>
      </c>
      <c r="B1199" s="2">
        <f>HYPERLINK("https://www.suredividend.com/sure-analysis-research-database/","NL INDUSTRIES INC")</f>
        <v>0</v>
      </c>
      <c r="C1199" s="1" t="s">
        <v>1964</v>
      </c>
      <c r="D1199" s="3">
        <v>6.31</v>
      </c>
      <c r="E1199" s="4">
        <v>0.1</v>
      </c>
      <c r="F1199" s="4">
        <v>0.08901000000000001</v>
      </c>
      <c r="G1199" s="3">
        <v>0.65</v>
      </c>
      <c r="H1199" s="5">
        <v>307.346597</v>
      </c>
      <c r="I1199" s="6">
        <v>31.7016</v>
      </c>
      <c r="J1199" s="4">
        <v>2.540282</v>
      </c>
      <c r="K1199" s="7">
        <v>0.7993</v>
      </c>
      <c r="L1199" s="3">
        <v>8.58</v>
      </c>
      <c r="M1199" s="3">
        <v>4.96</v>
      </c>
    </row>
    <row r="1200" spans="1:13">
      <c r="A1200" s="8" t="s">
        <v>1211</v>
      </c>
      <c r="B1200" s="2">
        <f>HYPERLINK("https://www.suredividend.com/sure-analysis-research-database/","Net Lease Office Properties")</f>
        <v>0</v>
      </c>
      <c r="C1200" s="1" t="s">
        <v>1959</v>
      </c>
      <c r="D1200" s="3">
        <v>19.26</v>
      </c>
      <c r="E1200" s="4">
        <v>0.65</v>
      </c>
      <c r="F1200" s="4">
        <v>0.12107</v>
      </c>
      <c r="G1200" s="3">
        <v>12.3</v>
      </c>
      <c r="H1200" s="5">
        <v>279.837877</v>
      </c>
      <c r="K1200" s="7">
        <v>0.6505</v>
      </c>
      <c r="L1200" s="3">
        <v>21.8</v>
      </c>
      <c r="M1200" s="3">
        <v>16.34</v>
      </c>
    </row>
    <row r="1201" spans="1:13">
      <c r="A1201" s="8" t="s">
        <v>1212</v>
      </c>
      <c r="B1201" s="2">
        <f>HYPERLINK("https://www.suredividend.com/sure-analysis-research-database/","NMI Holdings, Inc.")</f>
        <v>0</v>
      </c>
      <c r="C1201" s="1" t="s">
        <v>1962</v>
      </c>
      <c r="D1201" s="3">
        <v>38.11</v>
      </c>
      <c r="F1201" s="4">
        <v>0</v>
      </c>
      <c r="G1201" s="3">
        <v>0</v>
      </c>
      <c r="H1201" s="5">
        <v>2934.817491</v>
      </c>
      <c r="I1201" s="6">
        <v>7.7054</v>
      </c>
      <c r="J1201" s="4">
        <v>0</v>
      </c>
      <c r="K1201" s="7">
        <v>0.5092</v>
      </c>
      <c r="L1201" s="3">
        <v>43.2</v>
      </c>
      <c r="M1201" s="3">
        <v>31.9</v>
      </c>
    </row>
    <row r="1202" spans="1:13">
      <c r="A1202" s="8" t="s">
        <v>1213</v>
      </c>
      <c r="B1202" s="2">
        <f>HYPERLINK("https://www.suredividend.com/sure-analysis-research-database/","Neumora Therapeutics, Inc.")</f>
        <v>0</v>
      </c>
      <c r="C1202" s="1" t="s">
        <v>1959</v>
      </c>
      <c r="D1202" s="3">
        <v>1.96</v>
      </c>
      <c r="F1202" s="4">
        <v>0</v>
      </c>
      <c r="G1202" s="3">
        <v>0</v>
      </c>
      <c r="H1202" s="5">
        <v>325.823772</v>
      </c>
      <c r="J1202" s="4">
        <v>0</v>
      </c>
      <c r="K1202" s="7">
        <v>2.1695</v>
      </c>
      <c r="L1202" s="3">
        <v>3.25</v>
      </c>
      <c r="M1202" s="3">
        <v>0.61</v>
      </c>
    </row>
    <row r="1203" spans="1:13">
      <c r="A1203" s="8" t="s">
        <v>1214</v>
      </c>
      <c r="B1203" s="2">
        <f>HYPERLINK("https://www.suredividend.com/sure-analysis-research-database/","NEWMARK GROUP, INC.")</f>
        <v>0</v>
      </c>
      <c r="C1203" s="1" t="s">
        <v>1961</v>
      </c>
      <c r="D1203" s="3">
        <v>17.74</v>
      </c>
      <c r="E1203" s="4">
        <v>0.01</v>
      </c>
      <c r="F1203" s="4">
        <v>0.00603</v>
      </c>
      <c r="G1203" s="3">
        <v>0.12</v>
      </c>
      <c r="H1203" s="5">
        <v>3202.320224</v>
      </c>
      <c r="I1203" s="6">
        <v>30.9042</v>
      </c>
      <c r="J1203" s="4">
        <v>0.416354</v>
      </c>
      <c r="K1203" s="7">
        <v>1.6247</v>
      </c>
      <c r="L1203" s="3">
        <v>19.8</v>
      </c>
      <c r="M1203" s="3">
        <v>9.59</v>
      </c>
    </row>
    <row r="1204" spans="1:13">
      <c r="A1204" s="8" t="s">
        <v>1215</v>
      </c>
      <c r="B1204" s="2">
        <f>HYPERLINK("https://www.suredividend.com/sure-analysis-research-database/","NEXTNAV INC.")</f>
        <v>0</v>
      </c>
      <c r="C1204" s="1" t="s">
        <v>1959</v>
      </c>
      <c r="D1204" s="3">
        <v>15.26</v>
      </c>
      <c r="F1204" s="4">
        <v>0</v>
      </c>
      <c r="G1204" s="3">
        <v>0</v>
      </c>
      <c r="H1204" s="5">
        <v>2057.491883</v>
      </c>
      <c r="J1204" s="4">
        <v>0</v>
      </c>
      <c r="K1204" s="7">
        <v>1.2151</v>
      </c>
      <c r="L1204" s="3">
        <v>18.25</v>
      </c>
      <c r="M1204" s="3">
        <v>9.050000000000001</v>
      </c>
    </row>
    <row r="1205" spans="1:13">
      <c r="A1205" s="8" t="s">
        <v>1216</v>
      </c>
      <c r="B1205" s="2">
        <f>HYPERLINK("https://www.suredividend.com/sure-analysis-research-database/","NN INC")</f>
        <v>0</v>
      </c>
      <c r="C1205" s="1" t="s">
        <v>1964</v>
      </c>
      <c r="D1205" s="3">
        <v>1.61</v>
      </c>
      <c r="F1205" s="4">
        <v>0</v>
      </c>
      <c r="G1205" s="3">
        <v>0.28</v>
      </c>
      <c r="H1205" s="5">
        <v>78.305464</v>
      </c>
      <c r="J1205" s="4">
        <v>0</v>
      </c>
      <c r="K1205" s="7">
        <v>2.3225</v>
      </c>
      <c r="L1205" s="3">
        <v>3.52</v>
      </c>
      <c r="M1205" s="3">
        <v>1.1</v>
      </c>
    </row>
    <row r="1206" spans="1:13">
      <c r="A1206" s="8" t="s">
        <v>1217</v>
      </c>
      <c r="B1206" s="2">
        <f>HYPERLINK("https://www.suredividend.com/sure-analysis-research-database/","Nano Nuclear Energy Inc.")</f>
        <v>0</v>
      </c>
      <c r="C1206" s="1" t="s">
        <v>1959</v>
      </c>
      <c r="D1206" s="3">
        <v>35.65</v>
      </c>
      <c r="F1206" s="4">
        <v>0</v>
      </c>
      <c r="G1206" s="3">
        <v>0</v>
      </c>
      <c r="H1206" s="5">
        <v>1754.486459</v>
      </c>
      <c r="J1206" s="4">
        <v>0</v>
      </c>
      <c r="K1206" s="7">
        <v>4.6952</v>
      </c>
      <c r="L1206" s="3">
        <v>60.87</v>
      </c>
      <c r="M1206" s="3">
        <v>17.26</v>
      </c>
    </row>
    <row r="1207" spans="1:13">
      <c r="A1207" s="8" t="s">
        <v>1218</v>
      </c>
      <c r="B1207" s="2">
        <f>HYPERLINK("https://www.suredividend.com/sure-analysis-NNI/","NELNET INC")</f>
        <v>0</v>
      </c>
      <c r="C1207" s="1" t="s">
        <v>1962</v>
      </c>
      <c r="D1207" s="3">
        <v>131.83</v>
      </c>
      <c r="E1207" s="4">
        <v>0.01001289539558522</v>
      </c>
      <c r="F1207" s="4">
        <v>0.007900000000000001</v>
      </c>
      <c r="G1207" s="3">
        <v>1.19</v>
      </c>
      <c r="H1207" s="5">
        <v>4737.422936</v>
      </c>
      <c r="I1207" s="6">
        <v>10.9192</v>
      </c>
      <c r="J1207" s="4">
        <v>0.115618</v>
      </c>
      <c r="K1207" s="7">
        <v>0.6133999999999999</v>
      </c>
      <c r="L1207" s="3">
        <v>142.87</v>
      </c>
      <c r="M1207" s="3">
        <v>97.44</v>
      </c>
    </row>
    <row r="1208" spans="1:13">
      <c r="A1208" s="8" t="s">
        <v>1219</v>
      </c>
      <c r="B1208" s="2">
        <f>HYPERLINK("https://www.suredividend.com/sure-analysis-research-database/","Nano-X Imaging Ltd.")</f>
        <v>0</v>
      </c>
      <c r="C1208" s="1" t="s">
        <v>1959</v>
      </c>
      <c r="D1208" s="3">
        <v>3.03</v>
      </c>
      <c r="F1208" s="4">
        <v>0</v>
      </c>
      <c r="G1208" s="3">
        <v>0</v>
      </c>
      <c r="H1208" s="5">
        <v>174.491457</v>
      </c>
      <c r="J1208" s="4">
        <v>0</v>
      </c>
      <c r="K1208" s="7">
        <v>1.271</v>
      </c>
      <c r="L1208" s="3">
        <v>9.199999999999999</v>
      </c>
      <c r="M1208" s="3">
        <v>2.76</v>
      </c>
    </row>
    <row r="1209" spans="1:13">
      <c r="A1209" s="8" t="s">
        <v>1220</v>
      </c>
      <c r="B1209" s="2">
        <f>HYPERLINK("https://www.suredividend.com/sure-analysis-research-database/","NI Holdings, Inc.")</f>
        <v>0</v>
      </c>
      <c r="C1209" s="1" t="s">
        <v>1962</v>
      </c>
      <c r="D1209" s="3">
        <v>13.21</v>
      </c>
      <c r="F1209" s="4">
        <v>0</v>
      </c>
      <c r="G1209" s="3">
        <v>0</v>
      </c>
      <c r="H1209" s="5">
        <v>278.058483</v>
      </c>
      <c r="I1209" s="6">
        <v>107.3171</v>
      </c>
      <c r="J1209" s="4">
        <v>0</v>
      </c>
      <c r="K1209" s="7">
        <v>0.3446</v>
      </c>
      <c r="L1209" s="3">
        <v>15.41</v>
      </c>
      <c r="M1209" s="3">
        <v>12.01</v>
      </c>
    </row>
    <row r="1210" spans="1:13">
      <c r="A1210" s="8" t="s">
        <v>1221</v>
      </c>
      <c r="B1210" s="2">
        <f>HYPERLINK("https://www.suredividend.com/sure-analysis-research-database/","NORTHERN OIL &amp; GAS, INC.")</f>
        <v>0</v>
      </c>
      <c r="C1210" s="1" t="s">
        <v>1969</v>
      </c>
      <c r="D1210" s="3">
        <v>23.49</v>
      </c>
      <c r="E1210" s="4">
        <v>0.08</v>
      </c>
      <c r="F1210" s="4">
        <v>0.05673</v>
      </c>
      <c r="G1210" s="3">
        <v>1.8</v>
      </c>
      <c r="H1210" s="5">
        <v>2294.646013</v>
      </c>
      <c r="I1210" s="6">
        <v>12.6641</v>
      </c>
      <c r="J1210" s="4">
        <v>0.946394</v>
      </c>
      <c r="K1210" s="7">
        <v>1.0312</v>
      </c>
      <c r="L1210" s="3">
        <v>39.03</v>
      </c>
      <c r="M1210" s="3">
        <v>18.86</v>
      </c>
    </row>
    <row r="1211" spans="1:13">
      <c r="A1211" s="8" t="s">
        <v>1222</v>
      </c>
      <c r="B1211" s="2">
        <f>HYPERLINK("https://www.suredividend.com/sure-analysis-research-database/","FiscalNote Holdings, Inc.")</f>
        <v>0</v>
      </c>
      <c r="C1211" s="1" t="s">
        <v>1959</v>
      </c>
      <c r="D1211" s="3">
        <v>1.72</v>
      </c>
      <c r="F1211" s="4">
        <v>0</v>
      </c>
      <c r="G1211" s="3">
        <v>0</v>
      </c>
      <c r="H1211" s="5">
        <v>26.549723</v>
      </c>
      <c r="J1211" s="4">
        <v>0</v>
      </c>
      <c r="K1211" s="7">
        <v>2.5129</v>
      </c>
      <c r="L1211" s="3">
        <v>24.36</v>
      </c>
      <c r="M1211" s="3">
        <v>1.41</v>
      </c>
    </row>
    <row r="1212" spans="1:13">
      <c r="A1212" s="8" t="s">
        <v>1223</v>
      </c>
      <c r="B1212" s="2">
        <f>HYPERLINK("https://www.suredividend.com/sure-analysis-research-database/","NOVO NORDISK A S")</f>
        <v>0</v>
      </c>
      <c r="C1212" s="1" t="s">
        <v>1960</v>
      </c>
      <c r="D1212" s="3">
        <v>52.2</v>
      </c>
      <c r="F1212" s="4">
        <v>0</v>
      </c>
      <c r="G1212" s="3">
        <v>0</v>
      </c>
      <c r="K1212" s="7">
        <v>0.9139</v>
      </c>
    </row>
    <row r="1213" spans="1:13">
      <c r="A1213" s="8" t="s">
        <v>1224</v>
      </c>
      <c r="B1213" s="2">
        <f>HYPERLINK("https://www.suredividend.com/sure-analysis-research-database/","NOVANTA INC")</f>
        <v>0</v>
      </c>
      <c r="C1213" s="1" t="s">
        <v>1960</v>
      </c>
      <c r="D1213" s="3">
        <v>140.8</v>
      </c>
      <c r="F1213" s="4">
        <v>0</v>
      </c>
      <c r="G1213" s="3">
        <v>0</v>
      </c>
      <c r="H1213" s="5">
        <v>5035.348562</v>
      </c>
      <c r="I1213" s="6">
        <v>95.3267</v>
      </c>
      <c r="J1213" s="4">
        <v>0</v>
      </c>
      <c r="K1213" s="7">
        <v>1.704</v>
      </c>
      <c r="L1213" s="3">
        <v>154.16</v>
      </c>
      <c r="M1213" s="3">
        <v>98.27</v>
      </c>
    </row>
    <row r="1214" spans="1:13">
      <c r="A1214" s="8" t="s">
        <v>1225</v>
      </c>
      <c r="B1214" s="2">
        <f>HYPERLINK("https://www.suredividend.com/sure-analysis-research-database/","NeuroPace Inc")</f>
        <v>0</v>
      </c>
      <c r="C1214" s="1" t="s">
        <v>1959</v>
      </c>
      <c r="D1214" s="3">
        <v>16.95</v>
      </c>
      <c r="F1214" s="4">
        <v>0</v>
      </c>
      <c r="G1214" s="3">
        <v>0</v>
      </c>
      <c r="H1214" s="5">
        <v>564.233014</v>
      </c>
      <c r="J1214" s="4">
        <v>0</v>
      </c>
      <c r="K1214" s="7">
        <v>1.1352</v>
      </c>
      <c r="L1214" s="3">
        <v>18.98</v>
      </c>
      <c r="M1214" s="3">
        <v>7.56</v>
      </c>
    </row>
    <row r="1215" spans="1:13">
      <c r="A1215" s="8" t="s">
        <v>1226</v>
      </c>
      <c r="B1215" s="2">
        <f>HYPERLINK("https://www.suredividend.com/sure-analysis-research-database/","NATIONAL PRESTO INDUSTRIES INC")</f>
        <v>0</v>
      </c>
      <c r="C1215" s="1" t="s">
        <v>1964</v>
      </c>
      <c r="D1215" s="3">
        <v>121.4</v>
      </c>
      <c r="E1215" s="4">
        <v>0.01</v>
      </c>
      <c r="F1215" s="4">
        <v>0.00903</v>
      </c>
      <c r="G1215" s="3">
        <v>1</v>
      </c>
      <c r="H1215" s="5">
        <v>869.747423</v>
      </c>
      <c r="I1215" s="6">
        <v>22.4231</v>
      </c>
      <c r="J1215" s="4">
        <v>0.18402</v>
      </c>
      <c r="K1215" s="7">
        <v>0.6813</v>
      </c>
      <c r="L1215" s="3">
        <v>121.14</v>
      </c>
      <c r="M1215" s="3">
        <v>77.63</v>
      </c>
    </row>
    <row r="1216" spans="1:13">
      <c r="A1216" s="8" t="s">
        <v>1227</v>
      </c>
      <c r="B1216" s="2">
        <f>HYPERLINK("https://www.suredividend.com/sure-analysis-research-database/","NPK International Inc.")</f>
        <v>0</v>
      </c>
      <c r="C1216" s="1" t="s">
        <v>1959</v>
      </c>
      <c r="D1216" s="3">
        <v>13.98</v>
      </c>
      <c r="F1216" s="4">
        <v>0</v>
      </c>
      <c r="G1216" s="3">
        <v>0</v>
      </c>
      <c r="H1216" s="5">
        <v>1180.390945</v>
      </c>
      <c r="I1216" s="6">
        <v>35.7283</v>
      </c>
      <c r="J1216" s="4">
        <v>0</v>
      </c>
      <c r="K1216" s="7">
        <v>0.9361</v>
      </c>
      <c r="L1216" s="3">
        <v>14</v>
      </c>
      <c r="M1216" s="3">
        <v>4.76</v>
      </c>
    </row>
    <row r="1217" spans="1:13">
      <c r="A1217" s="8" t="s">
        <v>1228</v>
      </c>
      <c r="B1217" s="2">
        <f>HYPERLINK("https://www.suredividend.com/sure-analysis-NPO/","Enpro Inc.")</f>
        <v>0</v>
      </c>
      <c r="C1217" s="1" t="s">
        <v>1964</v>
      </c>
      <c r="D1217" s="3">
        <v>239.26</v>
      </c>
      <c r="E1217" s="4">
        <v>0.00518264649335451</v>
      </c>
      <c r="F1217" s="4">
        <v>0.00513</v>
      </c>
      <c r="G1217" s="3">
        <v>1.24</v>
      </c>
      <c r="H1217" s="5">
        <v>5035.973175</v>
      </c>
      <c r="I1217" s="6">
        <v>58.2867</v>
      </c>
      <c r="J1217" s="4">
        <v>0.300926</v>
      </c>
      <c r="K1217" s="7">
        <v>1.4892</v>
      </c>
      <c r="L1217" s="3">
        <v>248.52</v>
      </c>
      <c r="M1217" s="3">
        <v>132.9</v>
      </c>
    </row>
    <row r="1218" spans="1:13">
      <c r="A1218" s="8" t="s">
        <v>1229</v>
      </c>
      <c r="B1218" s="2">
        <f>HYPERLINK("https://www.suredividend.com/sure-analysis-research-database/","NET Power Inc.")</f>
        <v>0</v>
      </c>
      <c r="C1218" s="1" t="s">
        <v>1959</v>
      </c>
      <c r="D1218" s="3">
        <v>2.64</v>
      </c>
      <c r="F1218" s="4">
        <v>0</v>
      </c>
      <c r="G1218" s="3">
        <v>0</v>
      </c>
      <c r="H1218" s="5">
        <v>575.347985</v>
      </c>
      <c r="J1218" s="4">
        <v>0</v>
      </c>
      <c r="K1218" s="7">
        <v>0.9058</v>
      </c>
      <c r="L1218" s="3">
        <v>10.2</v>
      </c>
      <c r="M1218" s="3">
        <v>1.48</v>
      </c>
    </row>
    <row r="1219" spans="1:13">
      <c r="A1219" s="8" t="s">
        <v>1230</v>
      </c>
      <c r="B1219" s="2">
        <f>HYPERLINK("https://www.suredividend.com/sure-analysis-research-database/","NATIONAL RESEARCH CORP")</f>
        <v>0</v>
      </c>
      <c r="C1219" s="1" t="s">
        <v>1965</v>
      </c>
      <c r="D1219" s="3">
        <v>22.33</v>
      </c>
      <c r="E1219" s="4">
        <v>0.02</v>
      </c>
      <c r="F1219" s="4">
        <v>0.03938</v>
      </c>
      <c r="G1219" s="3">
        <v>0.52</v>
      </c>
      <c r="H1219" s="5">
        <v>509.338824</v>
      </c>
      <c r="I1219" s="6">
        <v>31.1256</v>
      </c>
      <c r="J1219" s="4">
        <v>0.678135</v>
      </c>
      <c r="K1219" s="7">
        <v>0.6206</v>
      </c>
      <c r="L1219" s="3">
        <v>22.79</v>
      </c>
      <c r="M1219" s="3">
        <v>9.52</v>
      </c>
    </row>
    <row r="1220" spans="1:13">
      <c r="A1220" s="8" t="s">
        <v>1231</v>
      </c>
      <c r="B1220" s="2">
        <f>HYPERLINK("https://www.suredividend.com/sure-analysis-research-database/","NERDWALLET, INC.")</f>
        <v>0</v>
      </c>
      <c r="C1220" s="1" t="s">
        <v>1959</v>
      </c>
      <c r="D1220" s="3">
        <v>12.89</v>
      </c>
      <c r="F1220" s="4">
        <v>0</v>
      </c>
      <c r="G1220" s="3">
        <v>0</v>
      </c>
      <c r="H1220" s="5">
        <v>938.000667</v>
      </c>
      <c r="I1220" s="6">
        <v>12.7967</v>
      </c>
      <c r="J1220" s="4">
        <v>0</v>
      </c>
      <c r="K1220" s="7">
        <v>1.095</v>
      </c>
      <c r="L1220" s="3">
        <v>16.24</v>
      </c>
      <c r="M1220" s="3">
        <v>7.55</v>
      </c>
    </row>
    <row r="1221" spans="1:13">
      <c r="A1221" s="8" t="s">
        <v>1232</v>
      </c>
      <c r="B1221" s="2">
        <f>HYPERLINK("https://www.suredividend.com/sure-analysis-research-database/","Nerdy Inc.")</f>
        <v>0</v>
      </c>
      <c r="C1221" s="1" t="s">
        <v>1959</v>
      </c>
      <c r="D1221" s="3">
        <v>1.04</v>
      </c>
      <c r="F1221" s="4">
        <v>0</v>
      </c>
      <c r="G1221" s="3">
        <v>0</v>
      </c>
      <c r="H1221" s="5">
        <v>194.82741</v>
      </c>
      <c r="J1221" s="4">
        <v>0</v>
      </c>
      <c r="K1221" s="7">
        <v>2.3011</v>
      </c>
      <c r="L1221" s="3">
        <v>2.02</v>
      </c>
      <c r="M1221" s="3">
        <v>0.77</v>
      </c>
    </row>
    <row r="1222" spans="1:13">
      <c r="A1222" s="8" t="s">
        <v>1233</v>
      </c>
      <c r="B1222" s="2">
        <f>HYPERLINK("https://www.suredividend.com/sure-analysis-research-database/","NexPoint Real Estate Finance, Inc.")</f>
        <v>0</v>
      </c>
      <c r="C1222" s="1" t="s">
        <v>1961</v>
      </c>
      <c r="D1222" s="3">
        <v>14.74</v>
      </c>
      <c r="F1222" s="4">
        <v>0.14013</v>
      </c>
      <c r="G1222" s="3">
        <v>2</v>
      </c>
      <c r="J1222" s="4">
        <v>0.5058859999999999</v>
      </c>
      <c r="K1222" s="7">
        <v>0.6324</v>
      </c>
      <c r="L1222" s="3">
        <v>15.21</v>
      </c>
      <c r="M1222" s="3">
        <v>10.99</v>
      </c>
    </row>
    <row r="1223" spans="1:13">
      <c r="A1223" s="8" t="s">
        <v>1234</v>
      </c>
      <c r="B1223" s="2">
        <f>HYPERLINK("https://www.suredividend.com/sure-analysis-research-database/","Energy Vault Holdings, Inc.")</f>
        <v>0</v>
      </c>
      <c r="C1223" s="1" t="s">
        <v>1959</v>
      </c>
      <c r="D1223" s="3">
        <v>5.57</v>
      </c>
      <c r="F1223" s="4">
        <v>0</v>
      </c>
      <c r="G1223" s="3">
        <v>0</v>
      </c>
      <c r="H1223" s="5">
        <v>924.522917</v>
      </c>
      <c r="J1223" s="4">
        <v>0</v>
      </c>
      <c r="K1223" s="7">
        <v>2.5863</v>
      </c>
      <c r="L1223" s="3">
        <v>6.35</v>
      </c>
      <c r="M1223" s="3">
        <v>0.6</v>
      </c>
    </row>
    <row r="1224" spans="1:13">
      <c r="A1224" s="8" t="s">
        <v>1235</v>
      </c>
      <c r="B1224" s="2">
        <f>HYPERLINK("https://www.suredividend.com/sure-analysis-NRIM/","NORTHRIM BANCORP INC")</f>
        <v>0</v>
      </c>
      <c r="C1224" s="1" t="s">
        <v>1962</v>
      </c>
      <c r="D1224" s="3">
        <v>29.77</v>
      </c>
      <c r="E1224" s="4">
        <v>0.02149815250251931</v>
      </c>
      <c r="F1224" s="4">
        <v>0.01993</v>
      </c>
      <c r="G1224" s="3">
        <v>0.64</v>
      </c>
      <c r="H1224" s="5">
        <v>657.41828</v>
      </c>
      <c r="I1224" s="6">
        <v>10.4197</v>
      </c>
      <c r="J1224" s="4">
        <v>0.225616</v>
      </c>
      <c r="K1224" s="7">
        <v>0.9739</v>
      </c>
      <c r="L1224" s="3">
        <v>29.82</v>
      </c>
      <c r="M1224" s="3">
        <v>15.85</v>
      </c>
    </row>
    <row r="1225" spans="1:13">
      <c r="A1225" s="8" t="s">
        <v>1236</v>
      </c>
      <c r="B1225" s="2">
        <f>HYPERLINK("https://www.suredividend.com/sure-analysis-research-database/","Nurix Therapeutics, Inc.")</f>
        <v>0</v>
      </c>
      <c r="C1225" s="1" t="s">
        <v>1959</v>
      </c>
      <c r="D1225" s="3">
        <v>19.15</v>
      </c>
      <c r="F1225" s="4">
        <v>0</v>
      </c>
      <c r="G1225" s="3">
        <v>0</v>
      </c>
      <c r="H1225" s="5">
        <v>1462.322953</v>
      </c>
      <c r="J1225" s="4">
        <v>0</v>
      </c>
      <c r="K1225" s="7">
        <v>1.8366</v>
      </c>
      <c r="L1225" s="3">
        <v>22.5</v>
      </c>
      <c r="M1225" s="3">
        <v>8.18</v>
      </c>
    </row>
    <row r="1226" spans="1:13">
      <c r="A1226" s="8" t="s">
        <v>1237</v>
      </c>
      <c r="B1226" s="2">
        <f>HYPERLINK("https://www.suredividend.com/sure-analysis-research-database/","INSIGHT ENTERPRISES INC")</f>
        <v>0</v>
      </c>
      <c r="C1226" s="1" t="s">
        <v>1960</v>
      </c>
      <c r="D1226" s="3">
        <v>81</v>
      </c>
      <c r="F1226" s="4">
        <v>0</v>
      </c>
      <c r="G1226" s="3">
        <v>0</v>
      </c>
      <c r="H1226" s="5">
        <v>2512.755113</v>
      </c>
      <c r="I1226" s="6">
        <v>17.6451</v>
      </c>
      <c r="J1226" s="4">
        <v>0</v>
      </c>
      <c r="K1226" s="7">
        <v>1.019</v>
      </c>
      <c r="L1226" s="3">
        <v>181.92</v>
      </c>
      <c r="M1226" s="3">
        <v>77.09999999999999</v>
      </c>
    </row>
    <row r="1227" spans="1:13">
      <c r="A1227" s="8" t="s">
        <v>1238</v>
      </c>
      <c r="B1227" s="2">
        <f>HYPERLINK("https://www.suredividend.com/sure-analysis-NSP/","INSPERITY, INC.")</f>
        <v>0</v>
      </c>
      <c r="C1227" s="1" t="s">
        <v>1964</v>
      </c>
      <c r="D1227" s="3">
        <v>47.01</v>
      </c>
      <c r="E1227" s="4">
        <v>0.05105296745373325</v>
      </c>
      <c r="F1227" s="4">
        <v>0.05016</v>
      </c>
      <c r="G1227" s="3">
        <v>2.4</v>
      </c>
      <c r="H1227" s="5">
        <v>1773.980352</v>
      </c>
      <c r="I1227" s="6">
        <v>104.3518</v>
      </c>
      <c r="J1227" s="4">
        <v>5.294118</v>
      </c>
      <c r="K1227" s="7">
        <v>1.0213</v>
      </c>
      <c r="L1227" s="3">
        <v>91.81999999999999</v>
      </c>
      <c r="M1227" s="3">
        <v>30.48</v>
      </c>
    </row>
    <row r="1228" spans="1:13">
      <c r="A1228" s="8" t="s">
        <v>1239</v>
      </c>
      <c r="B1228" s="2">
        <f>HYPERLINK("https://www.suredividend.com/sure-analysis-research-database/","NAPCO SECURITY TECHNOLOGIES, INC")</f>
        <v>0</v>
      </c>
      <c r="C1228" s="1" t="s">
        <v>1964</v>
      </c>
      <c r="D1228" s="3">
        <v>38.165</v>
      </c>
      <c r="E1228" s="4">
        <v>0.01</v>
      </c>
      <c r="F1228" s="4">
        <v>0.00577</v>
      </c>
      <c r="G1228" s="3">
        <v>0.55</v>
      </c>
      <c r="H1228" s="5">
        <v>1360.593961</v>
      </c>
      <c r="I1228" s="6">
        <v>26.4167</v>
      </c>
      <c r="J1228" s="4">
        <v>0.200291</v>
      </c>
      <c r="K1228" s="7">
        <v>1.3607</v>
      </c>
      <c r="L1228" s="3">
        <v>47.96</v>
      </c>
      <c r="M1228" s="3">
        <v>18.78</v>
      </c>
    </row>
    <row r="1229" spans="1:13">
      <c r="A1229" s="8" t="s">
        <v>1240</v>
      </c>
      <c r="B1229" s="2">
        <f>HYPERLINK("https://www.suredividend.com/sure-analysis-research-database/","Bank of N.T. Butterfield &amp; Son Ltd")</f>
        <v>0</v>
      </c>
      <c r="C1229" s="1" t="s">
        <v>1962</v>
      </c>
      <c r="D1229" s="3">
        <v>51.28</v>
      </c>
      <c r="E1229" s="4">
        <v>0.04</v>
      </c>
      <c r="F1229" s="4">
        <v>0.03744</v>
      </c>
      <c r="G1229" s="3">
        <v>1.88</v>
      </c>
      <c r="H1229" s="5">
        <v>2232.192183</v>
      </c>
      <c r="I1229" s="6">
        <v>10.3191</v>
      </c>
      <c r="J1229" s="4">
        <v>0.367892</v>
      </c>
      <c r="K1229" s="7">
        <v>0.8605</v>
      </c>
      <c r="L1229" s="3">
        <v>52.11</v>
      </c>
      <c r="M1229" s="3">
        <v>33.72</v>
      </c>
    </row>
    <row r="1230" spans="1:13">
      <c r="A1230" s="8" t="s">
        <v>1241</v>
      </c>
      <c r="B1230" s="2">
        <f>HYPERLINK("https://www.suredividend.com/sure-analysis-research-database/","NETSCOUT SYSTEMS INC")</f>
        <v>0</v>
      </c>
      <c r="C1230" s="1" t="s">
        <v>1960</v>
      </c>
      <c r="D1230" s="3">
        <v>27.64</v>
      </c>
      <c r="F1230" s="4">
        <v>0</v>
      </c>
      <c r="G1230" s="3">
        <v>0</v>
      </c>
      <c r="H1230" s="5">
        <v>1996.876995</v>
      </c>
      <c r="I1230" s="6">
        <v>22.2925</v>
      </c>
      <c r="J1230" s="4">
        <v>0</v>
      </c>
      <c r="K1230" s="7">
        <v>0.8728</v>
      </c>
      <c r="L1230" s="3">
        <v>30.67</v>
      </c>
      <c r="M1230" s="3">
        <v>18.12</v>
      </c>
    </row>
    <row r="1231" spans="1:13">
      <c r="A1231" s="8" t="s">
        <v>1242</v>
      </c>
      <c r="B1231" s="2">
        <f>HYPERLINK("https://www.suredividend.com/sure-analysis-research-database/","NETGEAR, INC.")</f>
        <v>0</v>
      </c>
      <c r="C1231" s="1" t="s">
        <v>1960</v>
      </c>
      <c r="D1231" s="3">
        <v>21.51</v>
      </c>
      <c r="F1231" s="4">
        <v>0</v>
      </c>
      <c r="G1231" s="3">
        <v>0</v>
      </c>
      <c r="H1231" s="5">
        <v>610.94326</v>
      </c>
      <c r="J1231" s="4">
        <v>0</v>
      </c>
      <c r="K1231" s="7">
        <v>1.3733</v>
      </c>
      <c r="L1231" s="3">
        <v>36.86</v>
      </c>
      <c r="M1231" s="3">
        <v>18.75</v>
      </c>
    </row>
    <row r="1232" spans="1:13">
      <c r="A1232" s="8" t="s">
        <v>1243</v>
      </c>
      <c r="B1232" s="2">
        <f>HYPERLINK("https://www.suredividend.com/sure-analysis-research-database/","NORTHERN TECHNOLOGIES INTERNATIONAL CORP")</f>
        <v>0</v>
      </c>
      <c r="C1232" s="1" t="s">
        <v>1970</v>
      </c>
      <c r="D1232" s="3">
        <v>9.06</v>
      </c>
      <c r="E1232" s="4">
        <v>0.01</v>
      </c>
      <c r="F1232" s="4">
        <v>0.02757</v>
      </c>
      <c r="G1232" s="3">
        <v>0.1</v>
      </c>
      <c r="H1232" s="5">
        <v>84.952867</v>
      </c>
      <c r="J1232" s="4">
        <v>1.929788</v>
      </c>
      <c r="K1232" s="7">
        <v>0.1122</v>
      </c>
      <c r="L1232" s="3">
        <v>12.62</v>
      </c>
      <c r="M1232" s="3">
        <v>6.72</v>
      </c>
    </row>
    <row r="1233" spans="1:13">
      <c r="A1233" s="8" t="s">
        <v>1244</v>
      </c>
      <c r="B1233" s="2">
        <f>HYPERLINK("https://www.suredividend.com/sure-analysis-research-database/","Intellia Therapeutics, Inc.")</f>
        <v>0</v>
      </c>
      <c r="C1233" s="1" t="s">
        <v>1965</v>
      </c>
      <c r="D1233" s="3">
        <v>14.34</v>
      </c>
      <c r="F1233" s="4">
        <v>0</v>
      </c>
      <c r="G1233" s="3">
        <v>0</v>
      </c>
      <c r="H1233" s="5">
        <v>1625.093862</v>
      </c>
      <c r="J1233" s="4">
        <v>0</v>
      </c>
      <c r="K1233" s="7">
        <v>2.474</v>
      </c>
      <c r="L1233" s="3">
        <v>28.25</v>
      </c>
      <c r="M1233" s="3">
        <v>5.9</v>
      </c>
    </row>
    <row r="1234" spans="1:13">
      <c r="A1234" s="8" t="s">
        <v>1245</v>
      </c>
      <c r="B1234" s="2">
        <f>HYPERLINK("https://www.suredividend.com/sure-analysis-NTST/","NETSTREIT Corp.")</f>
        <v>0</v>
      </c>
      <c r="C1234" s="1" t="s">
        <v>1959</v>
      </c>
      <c r="D1234" s="3">
        <v>18.79</v>
      </c>
      <c r="E1234" s="4">
        <v>0.04576902607770091</v>
      </c>
      <c r="F1234" s="4">
        <v>0.0477</v>
      </c>
      <c r="G1234" s="3">
        <v>0.85</v>
      </c>
      <c r="H1234" s="5">
        <v>1547.56224</v>
      </c>
      <c r="I1234" s="6">
        <v>8365.201300000001</v>
      </c>
      <c r="J1234" s="4">
        <v>375.021505</v>
      </c>
      <c r="K1234" s="7">
        <v>0.5770999999999999</v>
      </c>
      <c r="L1234" s="3">
        <v>19.4</v>
      </c>
      <c r="M1234" s="3">
        <v>13.06</v>
      </c>
    </row>
    <row r="1235" spans="1:13">
      <c r="A1235" s="8" t="s">
        <v>1246</v>
      </c>
      <c r="B1235" s="2">
        <f>HYPERLINK("https://www.suredividend.com/sure-analysis-research-database/","NU SKIN ENTERPRISES, INC.")</f>
        <v>0</v>
      </c>
      <c r="C1235" s="1" t="s">
        <v>1966</v>
      </c>
      <c r="D1235" s="3">
        <v>11.1</v>
      </c>
      <c r="E1235" s="4">
        <v>0.02</v>
      </c>
      <c r="F1235" s="4">
        <v>0.09941999999999999</v>
      </c>
      <c r="G1235" s="3">
        <v>0.24</v>
      </c>
      <c r="H1235" s="5">
        <v>541.125844</v>
      </c>
      <c r="I1235" s="6">
        <v>4.9369</v>
      </c>
      <c r="J1235" s="4">
        <v>0.108669</v>
      </c>
      <c r="K1235" s="7">
        <v>0.9762</v>
      </c>
      <c r="L1235" s="3">
        <v>14.54</v>
      </c>
      <c r="M1235" s="3">
        <v>5.23</v>
      </c>
    </row>
    <row r="1236" spans="1:13">
      <c r="A1236" s="8" t="s">
        <v>1247</v>
      </c>
      <c r="B1236" s="2">
        <f>HYPERLINK("https://www.suredividend.com/sure-analysis-research-database/","Nuvation Bio Inc.")</f>
        <v>0</v>
      </c>
      <c r="C1236" s="1" t="s">
        <v>1959</v>
      </c>
      <c r="D1236" s="3">
        <v>6.24</v>
      </c>
      <c r="F1236" s="4">
        <v>0</v>
      </c>
      <c r="G1236" s="3">
        <v>0</v>
      </c>
      <c r="H1236" s="5">
        <v>2108.425613</v>
      </c>
      <c r="J1236" s="4">
        <v>0</v>
      </c>
      <c r="K1236" s="7">
        <v>1.9777</v>
      </c>
      <c r="L1236" s="3">
        <v>9.75</v>
      </c>
      <c r="M1236" s="3">
        <v>1.54</v>
      </c>
    </row>
    <row r="1237" spans="1:13">
      <c r="A1237" s="8" t="s">
        <v>1248</v>
      </c>
      <c r="B1237" s="2">
        <f>HYPERLINK("https://www.suredividend.com/sure-analysis-research-database/","Nuvalent, Inc.")</f>
        <v>0</v>
      </c>
      <c r="C1237" s="1" t="s">
        <v>1959</v>
      </c>
      <c r="D1237" s="3">
        <v>109.04</v>
      </c>
      <c r="F1237" s="4">
        <v>0</v>
      </c>
      <c r="G1237" s="3">
        <v>0</v>
      </c>
      <c r="H1237" s="5">
        <v>7927.940204</v>
      </c>
      <c r="J1237" s="4">
        <v>0</v>
      </c>
      <c r="K1237" s="7">
        <v>1.1843</v>
      </c>
      <c r="L1237" s="3">
        <v>112.88</v>
      </c>
      <c r="M1237" s="3">
        <v>55.54</v>
      </c>
    </row>
    <row r="1238" spans="1:13">
      <c r="A1238" s="8" t="s">
        <v>1249</v>
      </c>
      <c r="B1238" s="2">
        <f>HYPERLINK("https://www.suredividend.com/sure-analysis-research-database/","NOVAVAX INC")</f>
        <v>0</v>
      </c>
      <c r="C1238" s="1" t="s">
        <v>1965</v>
      </c>
      <c r="D1238" s="3">
        <v>9.93</v>
      </c>
      <c r="F1238" s="4">
        <v>0</v>
      </c>
      <c r="G1238" s="3">
        <v>12.75</v>
      </c>
      <c r="H1238" s="5">
        <v>1608.740051</v>
      </c>
      <c r="I1238" s="6">
        <v>4.7074</v>
      </c>
      <c r="J1238" s="4">
        <v>0</v>
      </c>
      <c r="K1238" s="7">
        <v>1.4693</v>
      </c>
      <c r="L1238" s="3">
        <v>10.64</v>
      </c>
      <c r="M1238" s="3">
        <v>5.01</v>
      </c>
    </row>
    <row r="1239" spans="1:13">
      <c r="A1239" s="8" t="s">
        <v>1250</v>
      </c>
      <c r="B1239" s="2">
        <f>HYPERLINK("https://www.suredividend.com/sure-analysis-research-database/","NovoCure Ltd")</f>
        <v>0</v>
      </c>
      <c r="C1239" s="1" t="s">
        <v>1965</v>
      </c>
      <c r="D1239" s="3">
        <v>13.52</v>
      </c>
      <c r="F1239" s="4">
        <v>0</v>
      </c>
      <c r="G1239" s="3">
        <v>0</v>
      </c>
      <c r="H1239" s="5">
        <v>1518.475662</v>
      </c>
      <c r="J1239" s="4">
        <v>0</v>
      </c>
      <c r="K1239" s="7">
        <v>1.5775</v>
      </c>
      <c r="L1239" s="3">
        <v>27.47</v>
      </c>
      <c r="M1239" s="3">
        <v>10.7</v>
      </c>
    </row>
    <row r="1240" spans="1:13">
      <c r="A1240" s="8" t="s">
        <v>1251</v>
      </c>
      <c r="B1240" s="2">
        <f>HYPERLINK("https://www.suredividend.com/sure-analysis-research-database/","NVE CORP /NEW/")</f>
        <v>0</v>
      </c>
      <c r="C1240" s="1" t="s">
        <v>1960</v>
      </c>
      <c r="D1240" s="3">
        <v>70.16</v>
      </c>
      <c r="E1240" s="4">
        <v>0.06</v>
      </c>
      <c r="F1240" s="4">
        <v>0.06254999999999999</v>
      </c>
      <c r="G1240" s="3">
        <v>4</v>
      </c>
      <c r="H1240" s="5">
        <v>331.104013</v>
      </c>
      <c r="I1240" s="6">
        <v>23.377</v>
      </c>
      <c r="J1240" s="4">
        <v>1.366077</v>
      </c>
      <c r="K1240" s="7">
        <v>1.0138</v>
      </c>
      <c r="L1240" s="3">
        <v>79.78</v>
      </c>
      <c r="M1240" s="3">
        <v>49.23</v>
      </c>
    </row>
    <row r="1241" spans="1:13">
      <c r="A1241" s="8" t="s">
        <v>1252</v>
      </c>
      <c r="B1241" s="2">
        <f>HYPERLINK("https://www.suredividend.com/sure-analysis-research-database/","NV5 Global, Inc.")</f>
        <v>0</v>
      </c>
      <c r="C1241" s="1" t="s">
        <v>1964</v>
      </c>
      <c r="D1241" s="3">
        <v>22.14</v>
      </c>
      <c r="F1241" s="4">
        <v>0</v>
      </c>
      <c r="G1241" s="3">
        <v>0</v>
      </c>
      <c r="H1241" s="5">
        <v>1480.992665</v>
      </c>
      <c r="I1241" s="6">
        <v>42.7736</v>
      </c>
      <c r="J1241" s="4">
        <v>0</v>
      </c>
      <c r="K1241" s="7">
        <v>0.9691</v>
      </c>
    </row>
    <row r="1242" spans="1:13">
      <c r="A1242" s="8" t="s">
        <v>1253</v>
      </c>
      <c r="B1242" s="2">
        <f>HYPERLINK("https://www.suredividend.com/sure-analysis-research-database/","ENVIRI Corp")</f>
        <v>0</v>
      </c>
      <c r="C1242" s="1" t="s">
        <v>1959</v>
      </c>
      <c r="D1242" s="3">
        <v>18.765</v>
      </c>
      <c r="F1242" s="4">
        <v>0</v>
      </c>
      <c r="G1242" s="3">
        <v>0.67</v>
      </c>
      <c r="H1242" s="5">
        <v>1513.850447</v>
      </c>
      <c r="K1242" s="7">
        <v>1.5791</v>
      </c>
      <c r="L1242" s="3">
        <v>18.74</v>
      </c>
      <c r="M1242" s="3">
        <v>4.72</v>
      </c>
    </row>
    <row r="1243" spans="1:13">
      <c r="A1243" s="8" t="s">
        <v>1254</v>
      </c>
      <c r="B1243" s="2">
        <f>HYPERLINK("https://www.suredividend.com/sure-analysis-research-database/","Navitas Semiconductor Corp")</f>
        <v>0</v>
      </c>
      <c r="C1243" s="1" t="s">
        <v>1959</v>
      </c>
      <c r="D1243" s="3">
        <v>10.03</v>
      </c>
      <c r="F1243" s="4">
        <v>0</v>
      </c>
      <c r="G1243" s="3">
        <v>0</v>
      </c>
      <c r="H1243" s="5">
        <v>2097.805958</v>
      </c>
      <c r="J1243" s="4">
        <v>0</v>
      </c>
      <c r="K1243" s="7">
        <v>1.8479</v>
      </c>
      <c r="L1243" s="3">
        <v>17.79</v>
      </c>
      <c r="M1243" s="3">
        <v>1.52</v>
      </c>
    </row>
    <row r="1244" spans="1:13">
      <c r="A1244" s="8" t="s">
        <v>1255</v>
      </c>
      <c r="B1244" s="2">
        <f>HYPERLINK("https://www.suredividend.com/sure-analysis-research-database/","Northwest Bancshares, Inc.")</f>
        <v>0</v>
      </c>
      <c r="C1244" s="1" t="s">
        <v>1962</v>
      </c>
      <c r="D1244" s="3">
        <v>12.95</v>
      </c>
      <c r="E1244" s="4">
        <v>0.06</v>
      </c>
      <c r="F1244" s="4">
        <v>0.06541</v>
      </c>
      <c r="G1244" s="3">
        <v>0.8</v>
      </c>
      <c r="H1244" s="5">
        <v>1887.611625</v>
      </c>
      <c r="I1244" s="6">
        <v>16.6971</v>
      </c>
      <c r="J1244" s="4">
        <v>0.938098</v>
      </c>
      <c r="K1244" s="7">
        <v>0.7386</v>
      </c>
      <c r="L1244" s="3">
        <v>13.16</v>
      </c>
      <c r="M1244" s="3">
        <v>10.22</v>
      </c>
    </row>
    <row r="1245" spans="1:13">
      <c r="A1245" s="8" t="s">
        <v>1256</v>
      </c>
      <c r="B1245" s="2">
        <f>HYPERLINK("https://www.suredividend.com/sure-analysis-NWE/","NorthWestern Energy Group, Inc.")</f>
        <v>0</v>
      </c>
      <c r="C1245" s="1" t="s">
        <v>1967</v>
      </c>
      <c r="D1245" s="3">
        <v>68.38</v>
      </c>
      <c r="E1245" s="4">
        <v>0.03860778005264698</v>
      </c>
      <c r="F1245" s="4">
        <v>0.0394</v>
      </c>
      <c r="G1245" s="3">
        <v>2.64</v>
      </c>
      <c r="H1245" s="5">
        <v>4200.240784</v>
      </c>
      <c r="I1245" s="6">
        <v>19.3601</v>
      </c>
      <c r="J1245" s="4">
        <v>0.740617</v>
      </c>
      <c r="K1245" s="7">
        <v>0.3237</v>
      </c>
      <c r="L1245" s="3">
        <v>69.03</v>
      </c>
      <c r="M1245" s="3">
        <v>49.34</v>
      </c>
    </row>
    <row r="1246" spans="1:13">
      <c r="A1246" s="8" t="s">
        <v>1257</v>
      </c>
      <c r="B1246" s="2">
        <f>HYPERLINK("https://www.suredividend.com/sure-analysis-NWFL/","NORWOOD FINANCIAL CORP")</f>
        <v>0</v>
      </c>
      <c r="C1246" s="1" t="s">
        <v>1962</v>
      </c>
      <c r="D1246" s="3">
        <v>28.88</v>
      </c>
      <c r="E1246" s="4">
        <v>0.0443213296398892</v>
      </c>
      <c r="F1246" s="4">
        <v>0.04092</v>
      </c>
      <c r="G1246" s="3">
        <v>1.25</v>
      </c>
      <c r="H1246" s="5">
        <v>268.754442</v>
      </c>
      <c r="I1246" s="6">
        <v>35.0763</v>
      </c>
      <c r="J1246" s="4">
        <v>1.44153</v>
      </c>
      <c r="K1246" s="7">
        <v>0.7601</v>
      </c>
      <c r="L1246" s="3">
        <v>30.24</v>
      </c>
      <c r="M1246" s="3">
        <v>20.22</v>
      </c>
    </row>
    <row r="1247" spans="1:13">
      <c r="A1247" s="8" t="s">
        <v>1258</v>
      </c>
      <c r="B1247" s="2">
        <f>HYPERLINK("https://www.suredividend.com/sure-analysis-NWN/","NORTHWEST NATURAL GAS CO")</f>
        <v>0</v>
      </c>
      <c r="C1247" s="1" t="s">
        <v>1967</v>
      </c>
      <c r="D1247" s="3">
        <v>47.69</v>
      </c>
      <c r="E1247" s="4">
        <v>0.04130845040889075</v>
      </c>
      <c r="F1247" s="4">
        <v>0.04165</v>
      </c>
      <c r="G1247" s="3">
        <v>1.96</v>
      </c>
      <c r="H1247" s="5">
        <v>1955.811819</v>
      </c>
      <c r="I1247" s="6">
        <v>19.3176</v>
      </c>
      <c r="J1247" s="4">
        <v>0.762544</v>
      </c>
      <c r="K1247" s="7">
        <v>0.357</v>
      </c>
      <c r="L1247" s="3">
        <v>49.63</v>
      </c>
      <c r="M1247" s="3">
        <v>37.57</v>
      </c>
    </row>
    <row r="1248" spans="1:13">
      <c r="A1248" s="8" t="s">
        <v>1259</v>
      </c>
      <c r="B1248" s="2">
        <f>HYPERLINK("https://www.suredividend.com/sure-analysis-research-database/","NORTHWEST PIPE CO")</f>
        <v>0</v>
      </c>
      <c r="C1248" s="1" t="s">
        <v>1964</v>
      </c>
      <c r="D1248" s="3">
        <v>70.61</v>
      </c>
      <c r="F1248" s="4">
        <v>0</v>
      </c>
      <c r="G1248" s="3">
        <v>0</v>
      </c>
      <c r="H1248" s="5">
        <v>665.180042</v>
      </c>
      <c r="I1248" s="6">
        <v>18.1604</v>
      </c>
      <c r="J1248" s="4">
        <v>0</v>
      </c>
      <c r="K1248" s="7">
        <v>1.0638</v>
      </c>
      <c r="L1248" s="3">
        <v>70.3</v>
      </c>
      <c r="M1248" s="3">
        <v>36.97</v>
      </c>
    </row>
    <row r="1249" spans="1:13">
      <c r="A1249" s="8" t="s">
        <v>1260</v>
      </c>
      <c r="B1249" s="2">
        <f>HYPERLINK("https://www.suredividend.com/sure-analysis-research-database/","Quanex Building Products CORP")</f>
        <v>0</v>
      </c>
      <c r="C1249" s="1" t="s">
        <v>1964</v>
      </c>
      <c r="D1249" s="3">
        <v>18.97</v>
      </c>
      <c r="E1249" s="4">
        <v>0.02</v>
      </c>
      <c r="F1249" s="4">
        <v>0.01973</v>
      </c>
      <c r="G1249" s="3">
        <v>0.32</v>
      </c>
      <c r="H1249" s="5">
        <v>865.992805</v>
      </c>
      <c r="K1249" s="7">
        <v>1.2608</v>
      </c>
      <c r="L1249" s="3">
        <v>24.34</v>
      </c>
      <c r="M1249" s="3">
        <v>10.99</v>
      </c>
    </row>
    <row r="1250" spans="1:13">
      <c r="A1250" s="8" t="s">
        <v>1261</v>
      </c>
      <c r="B1250" s="2">
        <f>HYPERLINK("https://www.suredividend.com/sure-analysis-research-database/","NEXPOINT DIVERSIFIED REAL ESTATE TRUST")</f>
        <v>0</v>
      </c>
      <c r="C1250" s="1" t="s">
        <v>1959</v>
      </c>
      <c r="D1250" s="3">
        <v>4.18</v>
      </c>
      <c r="E1250" s="4">
        <v>0.14</v>
      </c>
      <c r="F1250" s="4">
        <v>0.17341</v>
      </c>
      <c r="G1250" s="3">
        <v>0.6</v>
      </c>
      <c r="H1250" s="5">
        <v>205.395514</v>
      </c>
      <c r="K1250" s="7">
        <v>1.0429</v>
      </c>
      <c r="L1250" s="3">
        <v>4.88</v>
      </c>
      <c r="M1250" s="3">
        <v>2.5</v>
      </c>
    </row>
    <row r="1251" spans="1:13">
      <c r="A1251" s="8" t="s">
        <v>1262</v>
      </c>
      <c r="B1251" s="2">
        <f>HYPERLINK("https://www.suredividend.com/sure-analysis-NXRT/","NexPoint Residential Trust, Inc.")</f>
        <v>0</v>
      </c>
      <c r="C1251" s="1" t="s">
        <v>1961</v>
      </c>
      <c r="D1251" s="3">
        <v>30.72</v>
      </c>
      <c r="E1251" s="4">
        <v>0.06901041666666667</v>
      </c>
      <c r="F1251" s="4">
        <v>0.05688</v>
      </c>
      <c r="G1251" s="3">
        <v>2.06</v>
      </c>
      <c r="H1251" s="5">
        <v>778.689229</v>
      </c>
      <c r="K1251" s="7">
        <v>0.9651</v>
      </c>
      <c r="L1251" s="3">
        <v>40.55</v>
      </c>
      <c r="M1251" s="3">
        <v>27.69</v>
      </c>
    </row>
    <row r="1252" spans="1:13">
      <c r="A1252" s="8" t="s">
        <v>1263</v>
      </c>
      <c r="B1252" s="2">
        <f>HYPERLINK("https://www.suredividend.com/sure-analysis-research-database/","Nextracker Inc.")</f>
        <v>0</v>
      </c>
      <c r="C1252" s="1" t="s">
        <v>1959</v>
      </c>
      <c r="D1252" s="3">
        <v>102.7</v>
      </c>
      <c r="F1252" s="4">
        <v>0</v>
      </c>
      <c r="G1252" s="3">
        <v>0</v>
      </c>
      <c r="J1252" s="4">
        <v>0.005197</v>
      </c>
      <c r="K1252" s="7">
        <v>1.5528</v>
      </c>
      <c r="L1252" s="3">
        <v>112.74</v>
      </c>
      <c r="M1252" s="3">
        <v>36.06</v>
      </c>
    </row>
    <row r="1253" spans="1:13">
      <c r="A1253" s="8" t="s">
        <v>1264</v>
      </c>
      <c r="B1253" s="2">
        <f>HYPERLINK("https://www.suredividend.com/sure-analysis-research-database/","New York Mortgage Trust Inc.")</f>
        <v>0</v>
      </c>
      <c r="C1253" s="1" t="s">
        <v>1961</v>
      </c>
      <c r="D1253" s="3">
        <v>8.539999999999999</v>
      </c>
      <c r="E1253" s="4">
        <v>0.1</v>
      </c>
      <c r="F1253" s="4">
        <v>0.16423</v>
      </c>
      <c r="G1253" s="3">
        <v>0.86</v>
      </c>
      <c r="H1253" s="5">
        <v>763.1007070000001</v>
      </c>
      <c r="I1253" s="6">
        <v>63.2596</v>
      </c>
      <c r="K1253" s="7">
        <v>1.0285</v>
      </c>
      <c r="L1253" s="3">
        <v>8.76</v>
      </c>
      <c r="M1253" s="3">
        <v>4.57</v>
      </c>
    </row>
    <row r="1254" spans="1:13">
      <c r="A1254" s="8" t="s">
        <v>1265</v>
      </c>
      <c r="B1254" s="2">
        <f>HYPERLINK("https://www.suredividend.com/sure-analysis-research-database/","OmniAb, Inc.")</f>
        <v>0</v>
      </c>
      <c r="C1254" s="1" t="s">
        <v>1959</v>
      </c>
      <c r="D1254" s="3">
        <v>2</v>
      </c>
      <c r="F1254" s="4">
        <v>0</v>
      </c>
      <c r="G1254" s="3">
        <v>0</v>
      </c>
      <c r="H1254" s="5">
        <v>289.350354</v>
      </c>
      <c r="J1254" s="4">
        <v>0</v>
      </c>
      <c r="K1254" s="7">
        <v>1.2302</v>
      </c>
      <c r="L1254" s="3">
        <v>4.02</v>
      </c>
      <c r="M1254" s="3">
        <v>1.22</v>
      </c>
    </row>
    <row r="1255" spans="1:13">
      <c r="A1255" s="8" t="s">
        <v>1266</v>
      </c>
      <c r="B1255" s="2">
        <f>HYPERLINK("https://www.suredividend.com/sure-analysis-research-database/","Outbrain Inc.")</f>
        <v>0</v>
      </c>
      <c r="C1255" s="1" t="s">
        <v>1959</v>
      </c>
      <c r="D1255" s="3">
        <v>0.6899999999999999</v>
      </c>
      <c r="E1255" s="4">
        <v>0.05</v>
      </c>
      <c r="F1255" s="4">
        <v>0</v>
      </c>
      <c r="G1255" s="3">
        <v>0.84</v>
      </c>
      <c r="H1255" s="5">
        <v>1713.87113</v>
      </c>
      <c r="I1255" s="6">
        <v>6.5741</v>
      </c>
      <c r="K1255" s="7">
        <v>0.6567</v>
      </c>
    </row>
    <row r="1256" spans="1:13">
      <c r="A1256" s="8" t="s">
        <v>1267</v>
      </c>
      <c r="B1256" s="2">
        <f>HYPERLINK("https://www.suredividend.com/sure-analysis-research-database/","Orchestra BioMed Holdings, Inc.")</f>
        <v>0</v>
      </c>
      <c r="C1256" s="1" t="s">
        <v>1959</v>
      </c>
      <c r="D1256" s="3">
        <v>4.08</v>
      </c>
      <c r="F1256" s="4">
        <v>0</v>
      </c>
      <c r="G1256" s="3">
        <v>0</v>
      </c>
      <c r="H1256" s="5">
        <v>230.94075</v>
      </c>
      <c r="J1256" s="4">
        <v>0</v>
      </c>
      <c r="K1256" s="7">
        <v>1.6978</v>
      </c>
      <c r="L1256" s="3">
        <v>6.16</v>
      </c>
      <c r="M1256" s="3">
        <v>2.2</v>
      </c>
    </row>
    <row r="1257" spans="1:13">
      <c r="A1257" s="8" t="s">
        <v>1268</v>
      </c>
      <c r="B1257" s="2">
        <f>HYPERLINK("https://www.suredividend.com/sure-analysis-research-database/","Origin Bancorp, Inc.")</f>
        <v>0</v>
      </c>
      <c r="C1257" s="1" t="s">
        <v>1959</v>
      </c>
      <c r="D1257" s="3">
        <v>41.875</v>
      </c>
      <c r="E1257" s="4">
        <v>0.01</v>
      </c>
      <c r="F1257" s="4">
        <v>0.01484</v>
      </c>
      <c r="G1257" s="3">
        <v>0.6</v>
      </c>
      <c r="H1257" s="5">
        <v>1296.492985</v>
      </c>
      <c r="I1257" s="6">
        <v>21.6259</v>
      </c>
      <c r="J1257" s="4">
        <v>0.314473</v>
      </c>
      <c r="K1257" s="7">
        <v>0.9873</v>
      </c>
      <c r="L1257" s="3">
        <v>42.15</v>
      </c>
      <c r="M1257" s="3">
        <v>28.44</v>
      </c>
    </row>
    <row r="1258" spans="1:13">
      <c r="A1258" s="8" t="s">
        <v>1269</v>
      </c>
      <c r="B1258" s="2">
        <f>HYPERLINK("https://www.suredividend.com/sure-analysis-research-database/","Orange County Bancorp, Inc. /DE/")</f>
        <v>0</v>
      </c>
      <c r="C1258" s="1" t="s">
        <v>1959</v>
      </c>
      <c r="D1258" s="3">
        <v>30.51</v>
      </c>
      <c r="E1258" s="4">
        <v>0.02</v>
      </c>
      <c r="F1258" s="4">
        <v>0.01471</v>
      </c>
      <c r="G1258" s="3">
        <v>0.57</v>
      </c>
      <c r="H1258" s="5">
        <v>407.551903</v>
      </c>
      <c r="I1258" s="6">
        <v>11.2125</v>
      </c>
      <c r="J1258" s="4">
        <v>0.16818</v>
      </c>
      <c r="K1258" s="7">
        <v>0.7785</v>
      </c>
      <c r="L1258" s="3">
        <v>30.49</v>
      </c>
      <c r="M1258" s="3">
        <v>20.62</v>
      </c>
    </row>
    <row r="1259" spans="1:13">
      <c r="A1259" s="8" t="s">
        <v>1270</v>
      </c>
      <c r="B1259" s="2">
        <f>HYPERLINK("https://www.suredividend.com/sure-analysis-research-database/","OCEANFIRST FINANCIAL CORP")</f>
        <v>0</v>
      </c>
      <c r="C1259" s="1" t="s">
        <v>1962</v>
      </c>
      <c r="D1259" s="3">
        <v>19.09</v>
      </c>
      <c r="E1259" s="4">
        <v>0.04</v>
      </c>
      <c r="F1259" s="4">
        <v>0.04368</v>
      </c>
      <c r="G1259" s="3">
        <v>0.8</v>
      </c>
      <c r="H1259" s="5">
        <v>1095.551887</v>
      </c>
      <c r="I1259" s="6">
        <v>14.6191</v>
      </c>
      <c r="J1259" s="4">
        <v>0.619771</v>
      </c>
      <c r="K1259" s="7">
        <v>1.2311</v>
      </c>
      <c r="L1259" s="3">
        <v>20.61</v>
      </c>
      <c r="M1259" s="3">
        <v>13.8</v>
      </c>
    </row>
    <row r="1260" spans="1:13">
      <c r="A1260" s="8" t="s">
        <v>1271</v>
      </c>
      <c r="B1260" s="2">
        <f>HYPERLINK("https://www.suredividend.com/sure-analysis-research-database/","Ocugen, Inc.")</f>
        <v>0</v>
      </c>
      <c r="C1260" s="1" t="s">
        <v>1965</v>
      </c>
      <c r="D1260" s="3">
        <v>1.54</v>
      </c>
      <c r="F1260" s="4">
        <v>0</v>
      </c>
      <c r="G1260" s="3">
        <v>0</v>
      </c>
      <c r="H1260" s="5">
        <v>465.356967</v>
      </c>
      <c r="J1260" s="4">
        <v>0</v>
      </c>
      <c r="K1260" s="7">
        <v>1.4527</v>
      </c>
      <c r="L1260" s="3">
        <v>1.96</v>
      </c>
      <c r="M1260" s="3">
        <v>0.52</v>
      </c>
    </row>
    <row r="1261" spans="1:13">
      <c r="A1261" s="8" t="s">
        <v>1272</v>
      </c>
      <c r="B1261" s="2">
        <f>HYPERLINK("https://www.suredividend.com/sure-analysis-research-database/","OCULAR THERAPEUTIX, INC")</f>
        <v>0</v>
      </c>
      <c r="C1261" s="1" t="s">
        <v>1965</v>
      </c>
      <c r="D1261" s="3">
        <v>11.41</v>
      </c>
      <c r="F1261" s="4">
        <v>0</v>
      </c>
      <c r="G1261" s="3">
        <v>0</v>
      </c>
      <c r="H1261" s="5">
        <v>2433.00213</v>
      </c>
      <c r="J1261" s="4">
        <v>0</v>
      </c>
      <c r="K1261" s="7">
        <v>1.6031</v>
      </c>
      <c r="L1261" s="3">
        <v>16.44</v>
      </c>
      <c r="M1261" s="3">
        <v>5.79</v>
      </c>
    </row>
    <row r="1262" spans="1:13">
      <c r="A1262" s="8" t="s">
        <v>1273</v>
      </c>
      <c r="B1262" s="2">
        <f>HYPERLINK("https://www.suredividend.com/sure-analysis-ODC/","Oil-Dri Corp of America")</f>
        <v>0</v>
      </c>
      <c r="C1262" s="1" t="s">
        <v>1970</v>
      </c>
      <c r="D1262" s="3">
        <v>58.42</v>
      </c>
      <c r="E1262" s="4">
        <v>0.0140362889421431</v>
      </c>
      <c r="F1262" s="4">
        <v>0.01248</v>
      </c>
      <c r="G1262" s="3">
        <v>0.67</v>
      </c>
      <c r="H1262" s="5">
        <v>850.844722</v>
      </c>
      <c r="I1262" s="6">
        <v>16.0307</v>
      </c>
      <c r="J1262" s="4">
        <v>0.164726</v>
      </c>
      <c r="K1262" s="7">
        <v>0.4793</v>
      </c>
      <c r="L1262" s="3">
        <v>69.53</v>
      </c>
      <c r="M1262" s="3">
        <v>40.82</v>
      </c>
    </row>
    <row r="1263" spans="1:13">
      <c r="A1263" s="8" t="s">
        <v>1274</v>
      </c>
      <c r="B1263" s="2">
        <f>HYPERLINK("https://www.suredividend.com/sure-analysis-research-database/","ODP Corp")</f>
        <v>0</v>
      </c>
      <c r="C1263" s="1" t="s">
        <v>1963</v>
      </c>
      <c r="D1263" s="3">
        <v>28</v>
      </c>
      <c r="F1263" s="4">
        <v>0</v>
      </c>
      <c r="G1263" s="3">
        <v>1</v>
      </c>
      <c r="H1263" s="5">
        <v>843.299968</v>
      </c>
      <c r="J1263" s="4">
        <v>0</v>
      </c>
      <c r="K1263" s="7">
        <v>1.0075</v>
      </c>
    </row>
    <row r="1264" spans="1:13">
      <c r="A1264" s="8" t="s">
        <v>1275</v>
      </c>
      <c r="B1264" s="2">
        <f>HYPERLINK("https://www.suredividend.com/sure-analysis-research-database/","Orion S.A.")</f>
        <v>0</v>
      </c>
      <c r="C1264" s="1" t="s">
        <v>1970</v>
      </c>
      <c r="D1264" s="3">
        <v>6.24</v>
      </c>
      <c r="E1264" s="4">
        <v>0.01</v>
      </c>
      <c r="F1264" s="4">
        <v>0.01213</v>
      </c>
      <c r="G1264" s="3">
        <v>0.08</v>
      </c>
      <c r="H1264" s="5">
        <v>350.374165</v>
      </c>
      <c r="K1264" s="7">
        <v>1.065</v>
      </c>
      <c r="L1264" s="3">
        <v>16.48</v>
      </c>
      <c r="M1264" s="3">
        <v>4.33</v>
      </c>
    </row>
    <row r="1265" spans="1:13">
      <c r="A1265" s="8" t="s">
        <v>1276</v>
      </c>
      <c r="B1265" s="2">
        <f>HYPERLINK("https://www.suredividend.com/sure-analysis-OFG/","OFG BANCORP")</f>
        <v>0</v>
      </c>
      <c r="C1265" s="1" t="s">
        <v>1962</v>
      </c>
      <c r="D1265" s="3">
        <v>42.58</v>
      </c>
      <c r="E1265" s="4">
        <v>0.02818224518553311</v>
      </c>
      <c r="F1265" s="4">
        <v>0.0201</v>
      </c>
      <c r="G1265" s="3">
        <v>1.2</v>
      </c>
      <c r="H1265" s="5">
        <v>1871.613225</v>
      </c>
      <c r="I1265" s="6">
        <v>9.3788</v>
      </c>
      <c r="J1265" s="4">
        <v>0.25125</v>
      </c>
      <c r="K1265" s="7">
        <v>0.8567</v>
      </c>
      <c r="L1265" s="3">
        <v>45.46</v>
      </c>
      <c r="M1265" s="3">
        <v>32.46</v>
      </c>
    </row>
    <row r="1266" spans="1:13">
      <c r="A1266" s="8" t="s">
        <v>1277</v>
      </c>
      <c r="B1266" s="2">
        <f>HYPERLINK("https://www.suredividend.com/sure-analysis-research-database/","Orthofix Medical Inc.")</f>
        <v>0</v>
      </c>
      <c r="C1266" s="1" t="s">
        <v>1965</v>
      </c>
      <c r="D1266" s="3">
        <v>13.855</v>
      </c>
      <c r="F1266" s="4">
        <v>0</v>
      </c>
      <c r="G1266" s="3">
        <v>0</v>
      </c>
      <c r="H1266" s="5">
        <v>548.455277</v>
      </c>
      <c r="J1266" s="4">
        <v>0</v>
      </c>
      <c r="K1266" s="7">
        <v>1.4479</v>
      </c>
      <c r="L1266" s="3">
        <v>20.48</v>
      </c>
      <c r="M1266" s="3">
        <v>10.24</v>
      </c>
    </row>
    <row r="1267" spans="1:13">
      <c r="A1267" s="8" t="s">
        <v>1278</v>
      </c>
      <c r="B1267" s="2">
        <f>HYPERLINK("https://www.suredividend.com/sure-analysis-OFLX/","Omega Flex, Inc.")</f>
        <v>0</v>
      </c>
      <c r="C1267" s="1" t="s">
        <v>1964</v>
      </c>
      <c r="D1267" s="3">
        <v>33.02</v>
      </c>
      <c r="E1267" s="4">
        <v>0.04118715929739552</v>
      </c>
      <c r="F1267" s="4">
        <v>0.04214</v>
      </c>
      <c r="G1267" s="3">
        <v>1.36</v>
      </c>
      <c r="H1267" s="5">
        <v>333.970643</v>
      </c>
      <c r="I1267" s="6">
        <v>20.7513</v>
      </c>
      <c r="J1267" s="4">
        <v>0.863451</v>
      </c>
      <c r="K1267" s="7">
        <v>0.9937</v>
      </c>
      <c r="L1267" s="3">
        <v>41.39</v>
      </c>
      <c r="M1267" s="3">
        <v>25.29</v>
      </c>
    </row>
    <row r="1268" spans="1:13">
      <c r="A1268" s="8" t="s">
        <v>1279</v>
      </c>
      <c r="B1268" s="2">
        <f>HYPERLINK("https://www.suredividend.com/sure-analysis-OGS/","One Gas Inc.")</f>
        <v>0</v>
      </c>
      <c r="C1268" s="1" t="s">
        <v>1967</v>
      </c>
      <c r="D1268" s="3">
        <v>78.79000000000001</v>
      </c>
      <c r="E1268" s="4">
        <v>0.03401446884122351</v>
      </c>
      <c r="F1268" s="4">
        <v>0.03315</v>
      </c>
      <c r="G1268" s="3">
        <v>2.68</v>
      </c>
      <c r="H1268" s="5">
        <v>4727.32444</v>
      </c>
      <c r="K1268" s="7">
        <v>0.32</v>
      </c>
      <c r="L1268" s="3">
        <v>83.95999999999999</v>
      </c>
      <c r="M1268" s="3">
        <v>65.81999999999999</v>
      </c>
    </row>
    <row r="1269" spans="1:13">
      <c r="A1269" s="8" t="s">
        <v>1280</v>
      </c>
      <c r="B1269" s="2">
        <f>HYPERLINK("https://www.suredividend.com/sure-analysis-research-database/","O-I Glass, Inc. /DE/")</f>
        <v>0</v>
      </c>
      <c r="C1269" s="1" t="s">
        <v>1963</v>
      </c>
      <c r="D1269" s="3">
        <v>15.25</v>
      </c>
      <c r="F1269" s="4">
        <v>0</v>
      </c>
      <c r="G1269" s="3">
        <v>0.2</v>
      </c>
      <c r="H1269" s="5">
        <v>2342.316278</v>
      </c>
      <c r="K1269" s="7">
        <v>1.1805</v>
      </c>
      <c r="L1269" s="3">
        <v>16.04</v>
      </c>
      <c r="M1269" s="3">
        <v>9.23</v>
      </c>
    </row>
    <row r="1270" spans="1:13">
      <c r="A1270" s="8" t="s">
        <v>1281</v>
      </c>
      <c r="B1270" s="2">
        <f>HYPERLINK("https://www.suredividend.com/sure-analysis-research-database/","OCEANEERING INTERNATIONAL INC")</f>
        <v>0</v>
      </c>
      <c r="C1270" s="1" t="s">
        <v>1969</v>
      </c>
      <c r="D1270" s="3">
        <v>29.3</v>
      </c>
      <c r="F1270" s="4">
        <v>0</v>
      </c>
      <c r="G1270" s="3">
        <v>0.6</v>
      </c>
      <c r="H1270" s="5">
        <v>2854.568787</v>
      </c>
      <c r="I1270" s="6">
        <v>12.2932</v>
      </c>
      <c r="J1270" s="4">
        <v>0</v>
      </c>
      <c r="K1270" s="7">
        <v>1.2342</v>
      </c>
      <c r="L1270" s="3">
        <v>27.71</v>
      </c>
      <c r="M1270" s="3">
        <v>15.46</v>
      </c>
    </row>
    <row r="1271" spans="1:13">
      <c r="A1271" s="8" t="s">
        <v>1282</v>
      </c>
      <c r="B1271" s="2">
        <f>HYPERLINK("https://www.suredividend.com/sure-analysis-research-database/","OIL STATES INTERNATIONAL, INC")</f>
        <v>0</v>
      </c>
      <c r="C1271" s="1" t="s">
        <v>1969</v>
      </c>
      <c r="D1271" s="3">
        <v>8.5</v>
      </c>
      <c r="F1271" s="4">
        <v>0</v>
      </c>
      <c r="G1271" s="3">
        <v>0</v>
      </c>
      <c r="H1271" s="5">
        <v>510.227125</v>
      </c>
      <c r="I1271" s="6">
        <v>22.152</v>
      </c>
      <c r="J1271" s="4">
        <v>0</v>
      </c>
      <c r="K1271" s="7">
        <v>1.2583</v>
      </c>
      <c r="L1271" s="3">
        <v>8.539999999999999</v>
      </c>
      <c r="M1271" s="3">
        <v>3.08</v>
      </c>
    </row>
    <row r="1272" spans="1:13">
      <c r="A1272" s="8" t="s">
        <v>1283</v>
      </c>
      <c r="B1272" s="2">
        <f>HYPERLINK("https://www.suredividend.com/sure-analysis-research-database/","Olema Pharmaceuticals, Inc.")</f>
        <v>0</v>
      </c>
      <c r="C1272" s="1" t="s">
        <v>1959</v>
      </c>
      <c r="D1272" s="3">
        <v>25.53</v>
      </c>
      <c r="F1272" s="4">
        <v>0</v>
      </c>
      <c r="G1272" s="3">
        <v>0</v>
      </c>
      <c r="H1272" s="5">
        <v>2254.474921</v>
      </c>
      <c r="J1272" s="4">
        <v>0</v>
      </c>
      <c r="K1272" s="7">
        <v>0.8724</v>
      </c>
      <c r="L1272" s="3">
        <v>36.26</v>
      </c>
      <c r="M1272" s="3">
        <v>2.86</v>
      </c>
    </row>
    <row r="1273" spans="1:13">
      <c r="A1273" s="8" t="s">
        <v>1284</v>
      </c>
      <c r="B1273" s="2">
        <f>HYPERLINK("https://www.suredividend.com/sure-analysis-research-database/","Olo Inc.")</f>
        <v>0</v>
      </c>
      <c r="D1273" s="3">
        <v>10.29</v>
      </c>
      <c r="F1273" s="4">
        <v>0</v>
      </c>
      <c r="G1273" s="3">
        <v>0</v>
      </c>
      <c r="H1273" s="5">
        <v>1738.04992</v>
      </c>
      <c r="J1273" s="4">
        <v>0</v>
      </c>
      <c r="K1273" s="7">
        <v>1.2562</v>
      </c>
    </row>
    <row r="1274" spans="1:13">
      <c r="A1274" s="8" t="s">
        <v>1285</v>
      </c>
      <c r="B1274" s="2">
        <f>HYPERLINK("https://www.suredividend.com/sure-analysis-research-database/","ONE LIBERTY PROPERTIES INC")</f>
        <v>0</v>
      </c>
      <c r="C1274" s="1" t="s">
        <v>1961</v>
      </c>
      <c r="D1274" s="3">
        <v>21.43</v>
      </c>
      <c r="E1274" s="4">
        <v>0.08</v>
      </c>
      <c r="F1274" s="4">
        <v>0.08679000000000001</v>
      </c>
      <c r="G1274" s="3">
        <v>1.8</v>
      </c>
      <c r="H1274" s="5">
        <v>463.855822</v>
      </c>
      <c r="I1274" s="6">
        <v>13.8069</v>
      </c>
      <c r="J1274" s="4">
        <v>1.103479</v>
      </c>
      <c r="K1274" s="7">
        <v>0.6412</v>
      </c>
      <c r="L1274" s="3">
        <v>26.26</v>
      </c>
      <c r="M1274" s="3">
        <v>19.2</v>
      </c>
    </row>
    <row r="1275" spans="1:13">
      <c r="A1275" s="8" t="s">
        <v>1286</v>
      </c>
      <c r="B1275" s="2">
        <f>HYPERLINK("https://www.suredividend.com/sure-analysis-research-database/","OLAPLEX HOLDINGS, INC.")</f>
        <v>0</v>
      </c>
      <c r="C1275" s="1" t="s">
        <v>1959</v>
      </c>
      <c r="D1275" s="3">
        <v>1.55</v>
      </c>
      <c r="F1275" s="4">
        <v>0</v>
      </c>
      <c r="G1275" s="3">
        <v>0</v>
      </c>
      <c r="H1275" s="5">
        <v>1061.343929</v>
      </c>
      <c r="J1275" s="4">
        <v>0</v>
      </c>
      <c r="K1275" s="7">
        <v>1.4329</v>
      </c>
      <c r="L1275" s="3">
        <v>1.84</v>
      </c>
      <c r="M1275" s="3">
        <v>0.99</v>
      </c>
    </row>
    <row r="1276" spans="1:13">
      <c r="A1276" s="8" t="s">
        <v>1287</v>
      </c>
      <c r="B1276" s="2">
        <f>HYPERLINK("https://www.suredividend.com/sure-analysis-research-database/","OMNICELL, INC.")</f>
        <v>0</v>
      </c>
      <c r="C1276" s="1" t="s">
        <v>1965</v>
      </c>
      <c r="D1276" s="3">
        <v>50.44</v>
      </c>
      <c r="F1276" s="4">
        <v>0</v>
      </c>
      <c r="G1276" s="3">
        <v>0</v>
      </c>
      <c r="H1276" s="5">
        <v>2265.366831</v>
      </c>
      <c r="I1276" s="6">
        <v>113.7232</v>
      </c>
      <c r="J1276" s="4">
        <v>0</v>
      </c>
      <c r="K1276" s="7">
        <v>0.5908</v>
      </c>
      <c r="L1276" s="3">
        <v>55</v>
      </c>
      <c r="M1276" s="3">
        <v>22.66</v>
      </c>
    </row>
    <row r="1277" spans="1:13">
      <c r="A1277" s="8" t="s">
        <v>1288</v>
      </c>
      <c r="B1277" s="2">
        <f>HYPERLINK("https://www.suredividend.com/sure-analysis-research-database/","OMEROS CORP")</f>
        <v>0</v>
      </c>
      <c r="C1277" s="1" t="s">
        <v>1965</v>
      </c>
      <c r="D1277" s="3">
        <v>12.1</v>
      </c>
      <c r="F1277" s="4">
        <v>0</v>
      </c>
      <c r="G1277" s="3">
        <v>0</v>
      </c>
      <c r="H1277" s="5">
        <v>856.477545</v>
      </c>
      <c r="J1277" s="4">
        <v>0</v>
      </c>
      <c r="K1277" s="7">
        <v>1.7389</v>
      </c>
      <c r="L1277" s="3">
        <v>17.65</v>
      </c>
      <c r="M1277" s="3">
        <v>2.95</v>
      </c>
    </row>
    <row r="1278" spans="1:13">
      <c r="A1278" s="8" t="s">
        <v>1289</v>
      </c>
      <c r="B1278" s="2">
        <f>HYPERLINK("https://www.suredividend.com/sure-analysis-research-database/","Owens &amp; Minor Inc.")</f>
        <v>0</v>
      </c>
      <c r="C1278" s="1" t="s">
        <v>1965</v>
      </c>
      <c r="D1278" s="3">
        <v>2.13</v>
      </c>
      <c r="F1278" s="4">
        <v>0</v>
      </c>
      <c r="G1278" s="3">
        <v>0</v>
      </c>
      <c r="H1278" s="5">
        <v>165.521711</v>
      </c>
      <c r="J1278" s="4">
        <v>0</v>
      </c>
      <c r="L1278" s="3">
        <v>2.9</v>
      </c>
      <c r="M1278" s="3">
        <v>1.84</v>
      </c>
    </row>
    <row r="1279" spans="1:13">
      <c r="A1279" s="8" t="s">
        <v>1290</v>
      </c>
      <c r="B1279" s="2">
        <f>HYPERLINK("https://www.suredividend.com/sure-analysis-research-database/","OLD NATIONAL BANCORP /IN/")</f>
        <v>0</v>
      </c>
      <c r="C1279" s="1" t="s">
        <v>1962</v>
      </c>
      <c r="D1279" s="3">
        <v>24.28</v>
      </c>
      <c r="E1279" s="4">
        <v>0.02</v>
      </c>
      <c r="F1279" s="4">
        <v>0.0241</v>
      </c>
      <c r="G1279" s="3">
        <v>0.5600000000000001</v>
      </c>
      <c r="H1279" s="5">
        <v>9386.367459999999</v>
      </c>
      <c r="I1279" s="6">
        <v>15.8991</v>
      </c>
      <c r="J1279" s="4">
        <v>0.354759</v>
      </c>
      <c r="K1279" s="7">
        <v>1.117</v>
      </c>
      <c r="L1279" s="3">
        <v>23.88</v>
      </c>
      <c r="M1279" s="3">
        <v>16.51</v>
      </c>
    </row>
    <row r="1280" spans="1:13">
      <c r="A1280" s="8" t="s">
        <v>1291</v>
      </c>
      <c r="B1280" s="2">
        <f>HYPERLINK("https://www.suredividend.com/sure-analysis-research-database/","OneWater Marine Inc.")</f>
        <v>0</v>
      </c>
      <c r="C1280" s="1" t="s">
        <v>1963</v>
      </c>
      <c r="D1280" s="3">
        <v>14.255</v>
      </c>
      <c r="F1280" s="4">
        <v>0.02859</v>
      </c>
      <c r="G1280" s="3">
        <v>1.8</v>
      </c>
      <c r="H1280" s="5">
        <v>236.013171</v>
      </c>
      <c r="K1280" s="7">
        <v>1.6541</v>
      </c>
      <c r="L1280" s="3">
        <v>21</v>
      </c>
      <c r="M1280" s="3">
        <v>10.14</v>
      </c>
    </row>
    <row r="1281" spans="1:13">
      <c r="A1281" s="8" t="s">
        <v>1292</v>
      </c>
      <c r="B1281" s="2">
        <f>HYPERLINK("https://www.suredividend.com/sure-analysis-research-database/","ONITY GROUP INC.")</f>
        <v>0</v>
      </c>
      <c r="C1281" s="1" t="s">
        <v>1959</v>
      </c>
      <c r="D1281" s="3">
        <v>50.69</v>
      </c>
      <c r="F1281" s="4">
        <v>0</v>
      </c>
      <c r="G1281" s="3">
        <v>0</v>
      </c>
      <c r="H1281" s="5">
        <v>409.551977</v>
      </c>
      <c r="I1281" s="6">
        <v>13.3405</v>
      </c>
      <c r="J1281" s="4">
        <v>0.105263</v>
      </c>
      <c r="K1281" s="7">
        <v>1.1299</v>
      </c>
      <c r="L1281" s="3">
        <v>54.1</v>
      </c>
      <c r="M1281" s="3">
        <v>25.5</v>
      </c>
    </row>
    <row r="1282" spans="1:13">
      <c r="A1282" s="8" t="s">
        <v>1293</v>
      </c>
      <c r="B1282" s="2">
        <f>HYPERLINK("https://www.suredividend.com/sure-analysis-research-database/","Orion Office REIT Inc.")</f>
        <v>0</v>
      </c>
      <c r="C1282" s="1" t="s">
        <v>1959</v>
      </c>
      <c r="D1282" s="3">
        <v>2.06</v>
      </c>
      <c r="E1282" s="4">
        <v>0.04</v>
      </c>
      <c r="F1282" s="4">
        <v>0.11429</v>
      </c>
      <c r="G1282" s="3">
        <v>0.08</v>
      </c>
      <c r="H1282" s="5">
        <v>116.571292</v>
      </c>
      <c r="K1282" s="7">
        <v>1.2905</v>
      </c>
      <c r="L1282" s="3">
        <v>4.1</v>
      </c>
      <c r="M1282" s="3">
        <v>1.42</v>
      </c>
    </row>
    <row r="1283" spans="1:13">
      <c r="A1283" s="8" t="s">
        <v>1294</v>
      </c>
      <c r="B1283" s="2">
        <f>HYPERLINK("https://www.suredividend.com/sure-analysis-research-database/","ON24 INC.")</f>
        <v>0</v>
      </c>
      <c r="C1283" s="1" t="s">
        <v>1959</v>
      </c>
      <c r="D1283" s="3">
        <v>8.01</v>
      </c>
      <c r="F1283" s="4">
        <v>0.02735</v>
      </c>
      <c r="G1283" s="3">
        <v>1.09</v>
      </c>
      <c r="H1283" s="5">
        <v>338.681984</v>
      </c>
      <c r="J1283" s="4">
        <v>0</v>
      </c>
      <c r="K1283" s="7">
        <v>1.0362</v>
      </c>
      <c r="L1283" s="3">
        <v>8.1</v>
      </c>
      <c r="M1283" s="3">
        <v>4.35</v>
      </c>
    </row>
    <row r="1284" spans="1:13">
      <c r="A1284" s="8" t="s">
        <v>1295</v>
      </c>
      <c r="B1284" s="2">
        <f>HYPERLINK("https://www.suredividend.com/sure-analysis-research-database/","OOMA INC")</f>
        <v>0</v>
      </c>
      <c r="C1284" s="1" t="s">
        <v>1968</v>
      </c>
      <c r="D1284" s="3">
        <v>12.01</v>
      </c>
      <c r="F1284" s="4">
        <v>0</v>
      </c>
      <c r="G1284" s="3">
        <v>0</v>
      </c>
      <c r="H1284" s="5">
        <v>331.2</v>
      </c>
      <c r="I1284" s="6">
        <v>147.4622</v>
      </c>
      <c r="J1284" s="4">
        <v>0</v>
      </c>
      <c r="K1284" s="7">
        <v>0.9042</v>
      </c>
      <c r="L1284" s="3">
        <v>15.65</v>
      </c>
      <c r="M1284" s="3">
        <v>9.789999999999999</v>
      </c>
    </row>
    <row r="1285" spans="1:13">
      <c r="A1285" s="8" t="s">
        <v>1296</v>
      </c>
      <c r="B1285" s="2">
        <f>HYPERLINK("https://www.suredividend.com/sure-analysis-research-database/","Offerpad Solutions Inc.")</f>
        <v>0</v>
      </c>
      <c r="C1285" s="1" t="s">
        <v>1959</v>
      </c>
      <c r="D1285" s="3">
        <v>1.3</v>
      </c>
      <c r="F1285" s="4">
        <v>0</v>
      </c>
      <c r="G1285" s="3">
        <v>0</v>
      </c>
      <c r="H1285" s="5">
        <v>47.91793</v>
      </c>
      <c r="J1285" s="4">
        <v>0</v>
      </c>
      <c r="K1285" s="7">
        <v>2.1752</v>
      </c>
      <c r="L1285" s="3">
        <v>6.35</v>
      </c>
      <c r="M1285" s="3">
        <v>0.91</v>
      </c>
    </row>
    <row r="1286" spans="1:13">
      <c r="A1286" s="8" t="s">
        <v>1297</v>
      </c>
      <c r="B1286" s="2">
        <f>HYPERLINK("https://www.suredividend.com/sure-analysis-research-database/","Option Care Health, Inc.")</f>
        <v>0</v>
      </c>
      <c r="C1286" s="1" t="s">
        <v>1965</v>
      </c>
      <c r="D1286" s="3">
        <v>36</v>
      </c>
      <c r="F1286" s="4">
        <v>0</v>
      </c>
      <c r="G1286" s="3">
        <v>0</v>
      </c>
      <c r="H1286" s="5">
        <v>5754.060593</v>
      </c>
      <c r="I1286" s="6">
        <v>28.0395</v>
      </c>
      <c r="J1286" s="4">
        <v>0</v>
      </c>
      <c r="K1286" s="7">
        <v>0.6402</v>
      </c>
      <c r="L1286" s="3">
        <v>36.63</v>
      </c>
      <c r="M1286" s="3">
        <v>24.24</v>
      </c>
    </row>
    <row r="1287" spans="1:13">
      <c r="A1287" s="8" t="s">
        <v>1298</v>
      </c>
      <c r="B1287" s="2">
        <f>HYPERLINK("https://www.suredividend.com/sure-analysis-research-database/","Opendoor Technologies Inc.")</f>
        <v>0</v>
      </c>
      <c r="C1287" s="1" t="s">
        <v>1959</v>
      </c>
      <c r="D1287" s="3">
        <v>6.7</v>
      </c>
      <c r="F1287" s="4">
        <v>0</v>
      </c>
      <c r="G1287" s="3">
        <v>0</v>
      </c>
      <c r="H1287" s="5">
        <v>5008.038704</v>
      </c>
      <c r="J1287" s="4">
        <v>0</v>
      </c>
      <c r="K1287" s="7">
        <v>3.2154</v>
      </c>
      <c r="L1287" s="3">
        <v>10.87</v>
      </c>
      <c r="M1287" s="3">
        <v>0.51</v>
      </c>
    </row>
    <row r="1288" spans="1:13">
      <c r="A1288" s="8" t="s">
        <v>1299</v>
      </c>
      <c r="B1288" s="2">
        <f>HYPERLINK("https://www.suredividend.com/sure-analysis-research-database/","OppFi Inc.")</f>
        <v>0</v>
      </c>
      <c r="C1288" s="1" t="s">
        <v>1959</v>
      </c>
      <c r="D1288" s="3">
        <v>9.960000000000001</v>
      </c>
      <c r="E1288" s="4">
        <v>0.04</v>
      </c>
      <c r="F1288" s="4">
        <v>0.00725</v>
      </c>
      <c r="G1288" s="3">
        <v>0.37</v>
      </c>
      <c r="H1288" s="5">
        <v>860.171008</v>
      </c>
      <c r="I1288" s="6">
        <v>222.0369</v>
      </c>
      <c r="J1288" s="4">
        <v>0.53389</v>
      </c>
      <c r="K1288" s="7">
        <v>1.1131</v>
      </c>
      <c r="L1288" s="3">
        <v>17.19</v>
      </c>
      <c r="M1288" s="3">
        <v>7.31</v>
      </c>
    </row>
    <row r="1289" spans="1:13">
      <c r="A1289" s="8" t="s">
        <v>1300</v>
      </c>
      <c r="B1289" s="2">
        <f>HYPERLINK("https://www.suredividend.com/sure-analysis-research-database/","OPKO HEALTH, INC.")</f>
        <v>0</v>
      </c>
      <c r="C1289" s="1" t="s">
        <v>1965</v>
      </c>
      <c r="D1289" s="3">
        <v>1.38</v>
      </c>
      <c r="F1289" s="4">
        <v>0</v>
      </c>
      <c r="G1289" s="3">
        <v>0</v>
      </c>
      <c r="H1289" s="5">
        <v>1059.427766</v>
      </c>
      <c r="J1289" s="4">
        <v>0</v>
      </c>
      <c r="K1289" s="7">
        <v>0.8333</v>
      </c>
      <c r="L1289" s="3">
        <v>2.04</v>
      </c>
      <c r="M1289" s="3">
        <v>1.11</v>
      </c>
    </row>
    <row r="1290" spans="1:13">
      <c r="A1290" s="8" t="s">
        <v>1301</v>
      </c>
      <c r="B1290" s="2">
        <f>HYPERLINK("https://www.suredividend.com/sure-analysis-research-database/","OptimizeRx Corp")</f>
        <v>0</v>
      </c>
      <c r="C1290" s="1" t="s">
        <v>1965</v>
      </c>
      <c r="D1290" s="3">
        <v>11.57</v>
      </c>
      <c r="F1290" s="4">
        <v>0</v>
      </c>
      <c r="G1290" s="3">
        <v>0</v>
      </c>
      <c r="H1290" s="5">
        <v>226.902166</v>
      </c>
      <c r="I1290" s="6">
        <v>6875.8232</v>
      </c>
      <c r="J1290" s="4">
        <v>0</v>
      </c>
      <c r="K1290" s="7">
        <v>2.3966</v>
      </c>
      <c r="L1290" s="3">
        <v>22.25</v>
      </c>
      <c r="M1290" s="3">
        <v>3.99</v>
      </c>
    </row>
    <row r="1291" spans="1:13">
      <c r="A1291" s="8" t="s">
        <v>1302</v>
      </c>
      <c r="B1291" s="2">
        <f>HYPERLINK("https://www.suredividend.com/sure-analysis-research-database/","ORMAT TECHNOLOGIES, INC.")</f>
        <v>0</v>
      </c>
      <c r="C1291" s="1" t="s">
        <v>1967</v>
      </c>
      <c r="D1291" s="3">
        <v>124.33</v>
      </c>
      <c r="F1291" s="4">
        <v>0.00412</v>
      </c>
      <c r="G1291" s="3">
        <v>0.48</v>
      </c>
      <c r="H1291" s="5">
        <v>7415.378624</v>
      </c>
      <c r="I1291" s="6">
        <v>55.6017</v>
      </c>
      <c r="J1291" s="4">
        <v>0.269306</v>
      </c>
      <c r="K1291" s="7">
        <v>0.5924</v>
      </c>
      <c r="L1291" s="3">
        <v>124.11</v>
      </c>
      <c r="M1291" s="3">
        <v>61.23</v>
      </c>
    </row>
    <row r="1292" spans="1:13">
      <c r="A1292" s="8" t="s">
        <v>1303</v>
      </c>
      <c r="B1292" s="2">
        <f>HYPERLINK("https://www.suredividend.com/sure-analysis-ORC/","Orchid Island Capital, Inc.")</f>
        <v>0</v>
      </c>
      <c r="C1292" s="1" t="s">
        <v>1961</v>
      </c>
      <c r="D1292" s="3">
        <v>8.19</v>
      </c>
      <c r="E1292" s="4">
        <v>0.1758241758241758</v>
      </c>
      <c r="F1292" s="4">
        <v>0.31187</v>
      </c>
      <c r="G1292" s="3">
        <v>1.44</v>
      </c>
      <c r="H1292" s="5">
        <v>1237.971226</v>
      </c>
      <c r="I1292" s="6">
        <v>20.2392</v>
      </c>
      <c r="J1292" s="4">
        <v>2.442722</v>
      </c>
      <c r="K1292" s="7">
        <v>1.023</v>
      </c>
      <c r="L1292" s="3">
        <v>8.34</v>
      </c>
      <c r="M1292" s="3">
        <v>4.88</v>
      </c>
    </row>
    <row r="1293" spans="1:13">
      <c r="A1293" s="8" t="s">
        <v>1304</v>
      </c>
      <c r="B1293" s="2">
        <f>HYPERLINK("https://www.suredividend.com/sure-analysis-research-database/","Organogenesis Holdings Inc.")</f>
        <v>0</v>
      </c>
      <c r="C1293" s="1" t="s">
        <v>1965</v>
      </c>
      <c r="D1293" s="3">
        <v>3.835</v>
      </c>
      <c r="F1293" s="4">
        <v>0</v>
      </c>
      <c r="G1293" s="3">
        <v>0</v>
      </c>
      <c r="H1293" s="5">
        <v>487.342625</v>
      </c>
      <c r="J1293" s="4">
        <v>0</v>
      </c>
      <c r="K1293" s="7">
        <v>1.5245</v>
      </c>
      <c r="L1293" s="3">
        <v>7.08</v>
      </c>
      <c r="M1293" s="3">
        <v>2.61</v>
      </c>
    </row>
    <row r="1294" spans="1:13">
      <c r="A1294" s="8" t="s">
        <v>1305</v>
      </c>
      <c r="B1294" s="2">
        <f>HYPERLINK("https://www.suredividend.com/sure-analysis-research-database/","Oric Pharmaceuticals, Inc.")</f>
        <v>0</v>
      </c>
      <c r="C1294" s="1" t="s">
        <v>1959</v>
      </c>
      <c r="D1294" s="3">
        <v>12.31</v>
      </c>
      <c r="F1294" s="4">
        <v>0</v>
      </c>
      <c r="G1294" s="3">
        <v>0</v>
      </c>
      <c r="H1294" s="5">
        <v>1193.018668</v>
      </c>
      <c r="J1294" s="4">
        <v>0</v>
      </c>
      <c r="K1294" s="7">
        <v>1.515</v>
      </c>
      <c r="L1294" s="3">
        <v>14.93</v>
      </c>
      <c r="M1294" s="3">
        <v>3.9</v>
      </c>
    </row>
    <row r="1295" spans="1:13">
      <c r="A1295" s="8" t="s">
        <v>1306</v>
      </c>
      <c r="B1295" s="2">
        <f>HYPERLINK("https://www.suredividend.com/sure-analysis-research-database/","Orion Group Holdings Inc")</f>
        <v>0</v>
      </c>
      <c r="C1295" s="1" t="s">
        <v>1964</v>
      </c>
      <c r="D1295" s="3">
        <v>11.56</v>
      </c>
      <c r="F1295" s="4">
        <v>0</v>
      </c>
      <c r="G1295" s="3">
        <v>0</v>
      </c>
      <c r="H1295" s="5">
        <v>446.092934</v>
      </c>
      <c r="I1295" s="6">
        <v>47.0463</v>
      </c>
      <c r="J1295" s="4">
        <v>0</v>
      </c>
      <c r="K1295" s="7">
        <v>1.6663</v>
      </c>
      <c r="L1295" s="3">
        <v>11.9</v>
      </c>
      <c r="M1295" s="3">
        <v>4.64</v>
      </c>
    </row>
    <row r="1296" spans="1:13">
      <c r="A1296" s="8" t="s">
        <v>1307</v>
      </c>
      <c r="B1296" s="2">
        <f>HYPERLINK("https://www.suredividend.com/sure-analysis-ORRF/","ORRSTOWN FINANCIAL SERVICES INC")</f>
        <v>0</v>
      </c>
      <c r="C1296" s="1" t="s">
        <v>1962</v>
      </c>
      <c r="D1296" s="3">
        <v>37.46</v>
      </c>
      <c r="E1296" s="4">
        <v>0.02883075280298986</v>
      </c>
      <c r="F1296" s="4">
        <v>0.02378</v>
      </c>
      <c r="G1296" s="3">
        <v>1.06</v>
      </c>
      <c r="H1296" s="5">
        <v>730.4239240000001</v>
      </c>
      <c r="I1296" s="6">
        <v>9.9992</v>
      </c>
      <c r="J1296" s="4">
        <v>0.271506</v>
      </c>
      <c r="K1296" s="7">
        <v>0.9008</v>
      </c>
      <c r="L1296" s="3">
        <v>38.38</v>
      </c>
      <c r="M1296" s="3">
        <v>24.93</v>
      </c>
    </row>
    <row r="1297" spans="1:13">
      <c r="A1297" s="8" t="s">
        <v>1308</v>
      </c>
      <c r="B1297" s="2">
        <f>HYPERLINK("https://www.suredividend.com/sure-analysis-research-database/","OLD SECOND BANCORP INC")</f>
        <v>0</v>
      </c>
      <c r="C1297" s="1" t="s">
        <v>1962</v>
      </c>
      <c r="D1297" s="3">
        <v>21.71</v>
      </c>
      <c r="E1297" s="4">
        <v>0.01</v>
      </c>
      <c r="F1297" s="4">
        <v>0.01026</v>
      </c>
      <c r="G1297" s="3">
        <v>0.25</v>
      </c>
      <c r="H1297" s="5">
        <v>1130.808239</v>
      </c>
      <c r="I1297" s="6">
        <v>16.0096</v>
      </c>
      <c r="J1297" s="4">
        <v>0.159161</v>
      </c>
      <c r="K1297" s="7">
        <v>0.8552</v>
      </c>
      <c r="L1297" s="3">
        <v>21.1</v>
      </c>
      <c r="M1297" s="3">
        <v>13.98</v>
      </c>
    </row>
    <row r="1298" spans="1:13">
      <c r="A1298" s="8" t="s">
        <v>1309</v>
      </c>
      <c r="B1298" s="2">
        <f>HYPERLINK("https://www.suredividend.com/sure-analysis-research-database/","Oscar Health, Inc.")</f>
        <v>0</v>
      </c>
      <c r="C1298" s="1" t="s">
        <v>1959</v>
      </c>
      <c r="D1298" s="3">
        <v>15.5</v>
      </c>
      <c r="F1298" s="4">
        <v>0</v>
      </c>
      <c r="G1298" s="3">
        <v>0</v>
      </c>
      <c r="H1298" s="5">
        <v>4076.1336</v>
      </c>
      <c r="J1298" s="4">
        <v>0</v>
      </c>
      <c r="K1298" s="7">
        <v>1.6833</v>
      </c>
      <c r="L1298" s="3">
        <v>23.8</v>
      </c>
      <c r="M1298" s="3">
        <v>11.2</v>
      </c>
    </row>
    <row r="1299" spans="1:13">
      <c r="A1299" s="8" t="s">
        <v>1310</v>
      </c>
      <c r="B1299" s="2">
        <f>HYPERLINK("https://www.suredividend.com/sure-analysis-research-database/","OSI SYSTEMS INC")</f>
        <v>0</v>
      </c>
      <c r="C1299" s="1" t="s">
        <v>1960</v>
      </c>
      <c r="D1299" s="3">
        <v>290.2</v>
      </c>
      <c r="F1299" s="4">
        <v>0</v>
      </c>
      <c r="G1299" s="3">
        <v>0</v>
      </c>
      <c r="H1299" s="5">
        <v>4918.150251</v>
      </c>
      <c r="I1299" s="6">
        <v>32.3016</v>
      </c>
      <c r="J1299" s="4">
        <v>0</v>
      </c>
      <c r="K1299" s="7">
        <v>1.3372</v>
      </c>
      <c r="L1299" s="3">
        <v>293.43</v>
      </c>
      <c r="M1299" s="3">
        <v>153.4</v>
      </c>
    </row>
    <row r="1300" spans="1:13">
      <c r="A1300" s="8" t="s">
        <v>1311</v>
      </c>
      <c r="B1300" s="2">
        <f>HYPERLINK("https://www.suredividend.com/sure-analysis-research-database/","OneSpan Inc.")</f>
        <v>0</v>
      </c>
      <c r="C1300" s="1" t="s">
        <v>1960</v>
      </c>
      <c r="D1300" s="3">
        <v>11.855</v>
      </c>
      <c r="E1300" s="4">
        <v>0.04</v>
      </c>
      <c r="F1300" s="4">
        <v>0.00748</v>
      </c>
      <c r="G1300" s="3">
        <v>0.48</v>
      </c>
      <c r="H1300" s="5">
        <v>450.621408</v>
      </c>
      <c r="I1300" s="6">
        <v>7.7494</v>
      </c>
      <c r="J1300" s="4">
        <v>0</v>
      </c>
      <c r="K1300" s="7">
        <v>1.4732</v>
      </c>
      <c r="L1300" s="3">
        <v>19.85</v>
      </c>
      <c r="M1300" s="3">
        <v>10.89</v>
      </c>
    </row>
    <row r="1301" spans="1:13">
      <c r="A1301" s="8" t="s">
        <v>1312</v>
      </c>
      <c r="B1301" s="2">
        <f>HYPERLINK("https://www.suredividend.com/sure-analysis-research-database/","ORASURE TECHNOLOGIES INC")</f>
        <v>0</v>
      </c>
      <c r="C1301" s="1" t="s">
        <v>1965</v>
      </c>
      <c r="D1301" s="3">
        <v>2.775</v>
      </c>
      <c r="F1301" s="4">
        <v>0</v>
      </c>
      <c r="G1301" s="3">
        <v>0</v>
      </c>
      <c r="H1301" s="5">
        <v>199.419213</v>
      </c>
      <c r="J1301" s="4">
        <v>0</v>
      </c>
      <c r="K1301" s="7">
        <v>0.7529</v>
      </c>
      <c r="L1301" s="3">
        <v>4.22</v>
      </c>
      <c r="M1301" s="3">
        <v>2.08</v>
      </c>
    </row>
    <row r="1302" spans="1:13">
      <c r="A1302" s="8" t="s">
        <v>1313</v>
      </c>
      <c r="B1302" s="2">
        <f>HYPERLINK("https://www.suredividend.com/sure-analysis-research-database/","ONESPAWORLD HOLDINGS Ltd")</f>
        <v>0</v>
      </c>
      <c r="C1302" s="1" t="s">
        <v>1963</v>
      </c>
      <c r="D1302" s="3">
        <v>20.15</v>
      </c>
      <c r="E1302" s="4">
        <v>0.01</v>
      </c>
      <c r="F1302" s="4">
        <v>0.00231</v>
      </c>
      <c r="G1302" s="3">
        <v>0.17</v>
      </c>
      <c r="H1302" s="5">
        <v>2052.30143</v>
      </c>
      <c r="I1302" s="6">
        <v>27.7548</v>
      </c>
      <c r="J1302" s="4">
        <v>0.22398</v>
      </c>
      <c r="K1302" s="7">
        <v>0.9725</v>
      </c>
      <c r="L1302" s="3">
        <v>23.43</v>
      </c>
      <c r="M1302" s="3">
        <v>14.12</v>
      </c>
    </row>
    <row r="1303" spans="1:13">
      <c r="A1303" s="8" t="s">
        <v>1314</v>
      </c>
      <c r="B1303" s="2">
        <f>HYPERLINK("https://www.suredividend.com/sure-analysis-research-database/","Outlook Therapeutics, Inc.")</f>
        <v>0</v>
      </c>
      <c r="C1303" s="1" t="s">
        <v>1965</v>
      </c>
      <c r="D1303" s="3">
        <v>0.506</v>
      </c>
      <c r="F1303" s="4">
        <v>0</v>
      </c>
      <c r="G1303" s="3">
        <v>0</v>
      </c>
      <c r="H1303" s="5">
        <v>22.476282</v>
      </c>
      <c r="J1303" s="4">
        <v>0</v>
      </c>
      <c r="K1303" s="7">
        <v>0.3166</v>
      </c>
      <c r="L1303" s="3">
        <v>3.39</v>
      </c>
      <c r="M1303" s="3">
        <v>0.5</v>
      </c>
    </row>
    <row r="1304" spans="1:13">
      <c r="A1304" s="8" t="s">
        <v>1315</v>
      </c>
      <c r="B1304" s="2">
        <f>HYPERLINK("https://www.suredividend.com/sure-analysis-OTTR/","Otter Tail Corp")</f>
        <v>0</v>
      </c>
      <c r="C1304" s="1" t="s">
        <v>1967</v>
      </c>
      <c r="D1304" s="3">
        <v>89.61</v>
      </c>
      <c r="E1304" s="4">
        <v>0.02577837294944761</v>
      </c>
      <c r="F1304" s="4">
        <v>0.02181</v>
      </c>
      <c r="G1304" s="3">
        <v>2.1</v>
      </c>
      <c r="H1304" s="5">
        <v>3756.410813</v>
      </c>
      <c r="I1304" s="6">
        <v>13.4653</v>
      </c>
      <c r="J1304" s="4">
        <v>0.306905</v>
      </c>
      <c r="K1304" s="7">
        <v>0.6485</v>
      </c>
      <c r="L1304" s="3">
        <v>88.47</v>
      </c>
      <c r="M1304" s="3">
        <v>70.41</v>
      </c>
    </row>
    <row r="1305" spans="1:13">
      <c r="A1305" s="8" t="s">
        <v>1316</v>
      </c>
      <c r="B1305" s="2">
        <f>HYPERLINK("https://www.suredividend.com/sure-analysis-research-database/","Ouster, Inc.")</f>
        <v>0</v>
      </c>
      <c r="C1305" s="1" t="s">
        <v>1959</v>
      </c>
      <c r="D1305" s="3">
        <v>25.89</v>
      </c>
      <c r="F1305" s="4">
        <v>0</v>
      </c>
      <c r="G1305" s="3">
        <v>0</v>
      </c>
      <c r="H1305" s="5">
        <v>1517.531989</v>
      </c>
      <c r="J1305" s="4">
        <v>0</v>
      </c>
      <c r="K1305" s="7">
        <v>2.3697</v>
      </c>
      <c r="L1305" s="3">
        <v>41.65</v>
      </c>
      <c r="M1305" s="3">
        <v>6.34</v>
      </c>
    </row>
    <row r="1306" spans="1:13">
      <c r="A1306" s="8" t="s">
        <v>1317</v>
      </c>
      <c r="B1306" s="2">
        <f>HYPERLINK("https://www.suredividend.com/sure-analysis-research-database/","OUTFRONT Media Inc.")</f>
        <v>0</v>
      </c>
      <c r="C1306" s="1" t="s">
        <v>1961</v>
      </c>
      <c r="D1306" s="3">
        <v>25.355</v>
      </c>
      <c r="E1306" s="4">
        <v>0.05</v>
      </c>
      <c r="F1306" s="4">
        <v>0.0457</v>
      </c>
      <c r="G1306" s="3">
        <v>1.2</v>
      </c>
      <c r="H1306" s="5">
        <v>4241.068315</v>
      </c>
      <c r="I1306" s="6">
        <v>34.1471</v>
      </c>
      <c r="J1306" s="4">
        <v>1.688406</v>
      </c>
      <c r="K1306" s="7">
        <v>1.5741</v>
      </c>
      <c r="L1306" s="3">
        <v>25.25</v>
      </c>
      <c r="M1306" s="3">
        <v>12.35</v>
      </c>
    </row>
    <row r="1307" spans="1:13">
      <c r="A1307" s="8" t="s">
        <v>1318</v>
      </c>
      <c r="B1307" s="2">
        <f>HYPERLINK("https://www.suredividend.com/sure-analysis-research-database/","Ovid Therapeutics Inc.")</f>
        <v>0</v>
      </c>
      <c r="C1307" s="1" t="s">
        <v>1965</v>
      </c>
      <c r="D1307" s="3">
        <v>1.62</v>
      </c>
      <c r="F1307" s="4">
        <v>0</v>
      </c>
      <c r="G1307" s="3">
        <v>0</v>
      </c>
      <c r="H1307" s="5">
        <v>116.788259</v>
      </c>
      <c r="J1307" s="4">
        <v>0</v>
      </c>
      <c r="K1307" s="7">
        <v>2.032</v>
      </c>
      <c r="L1307" s="3">
        <v>2.01</v>
      </c>
      <c r="M1307" s="3">
        <v>0.24</v>
      </c>
    </row>
    <row r="1308" spans="1:13">
      <c r="A1308" s="8" t="s">
        <v>1319</v>
      </c>
      <c r="B1308" s="2">
        <f>HYPERLINK("https://www.suredividend.com/sure-analysis-OVLY/","Oak Valley Bancorp")</f>
        <v>0</v>
      </c>
      <c r="C1308" s="1" t="s">
        <v>1962</v>
      </c>
      <c r="D1308" s="3">
        <v>31.96</v>
      </c>
      <c r="E1308" s="4">
        <v>0.01877346683354193</v>
      </c>
      <c r="F1308" s="4">
        <v>0.01304</v>
      </c>
      <c r="G1308" s="3">
        <v>0.6</v>
      </c>
      <c r="H1308" s="5">
        <v>269.84907</v>
      </c>
      <c r="I1308" s="6">
        <v>11.4411</v>
      </c>
      <c r="J1308" s="4">
        <v>0.212923</v>
      </c>
      <c r="K1308" s="7">
        <v>0.6446</v>
      </c>
      <c r="L1308" s="3">
        <v>32.19</v>
      </c>
      <c r="M1308" s="3">
        <v>22.45</v>
      </c>
    </row>
    <row r="1309" spans="1:13">
      <c r="A1309" s="8" t="s">
        <v>1320</v>
      </c>
      <c r="B1309" s="2">
        <f>HYPERLINK("https://www.suredividend.com/sure-analysis-OXM/","OXFORD INDUSTRIES INC")</f>
        <v>0</v>
      </c>
      <c r="C1309" s="1" t="s">
        <v>1963</v>
      </c>
      <c r="D1309" s="3">
        <v>39.19</v>
      </c>
      <c r="E1309" s="4">
        <v>0.07042612911457004</v>
      </c>
      <c r="F1309" s="4">
        <v>0.06049</v>
      </c>
      <c r="G1309" s="3">
        <v>2.76</v>
      </c>
      <c r="H1309" s="5">
        <v>571.7381360000001</v>
      </c>
      <c r="K1309" s="7">
        <v>0.9436</v>
      </c>
      <c r="L1309" s="3">
        <v>82.26000000000001</v>
      </c>
      <c r="M1309" s="3">
        <v>30.07</v>
      </c>
    </row>
    <row r="1310" spans="1:13">
      <c r="A1310" s="8" t="s">
        <v>1321</v>
      </c>
      <c r="B1310" s="2">
        <f>HYPERLINK("https://www.suredividend.com/sure-analysis-research-database/","PACIFIC BIOSCIENCES OF CALIFORNIA, INC.")</f>
        <v>0</v>
      </c>
      <c r="C1310" s="1" t="s">
        <v>1965</v>
      </c>
      <c r="D1310" s="3">
        <v>2.45</v>
      </c>
      <c r="F1310" s="4">
        <v>0</v>
      </c>
      <c r="G1310" s="3">
        <v>0</v>
      </c>
      <c r="H1310" s="5">
        <v>730.615983</v>
      </c>
      <c r="J1310" s="4">
        <v>0</v>
      </c>
      <c r="K1310" s="7">
        <v>1.5111</v>
      </c>
      <c r="L1310" s="3">
        <v>2.73</v>
      </c>
      <c r="M1310" s="3">
        <v>0.85</v>
      </c>
    </row>
    <row r="1311" spans="1:13">
      <c r="A1311" s="8" t="s">
        <v>1322</v>
      </c>
      <c r="B1311" s="2">
        <f>HYPERLINK("https://www.suredividend.com/sure-analysis-research-database/","Ranpak Holdings Corp.")</f>
        <v>0</v>
      </c>
      <c r="C1311" s="1" t="s">
        <v>1963</v>
      </c>
      <c r="D1311" s="3">
        <v>5.61</v>
      </c>
      <c r="F1311" s="4">
        <v>0</v>
      </c>
      <c r="G1311" s="3">
        <v>0</v>
      </c>
      <c r="H1311" s="5">
        <v>469.973596</v>
      </c>
      <c r="J1311" s="4">
        <v>0</v>
      </c>
      <c r="K1311" s="7">
        <v>2.0805</v>
      </c>
      <c r="L1311" s="3">
        <v>8.699999999999999</v>
      </c>
      <c r="M1311" s="3">
        <v>2.91</v>
      </c>
    </row>
    <row r="1312" spans="1:13">
      <c r="A1312" s="8" t="s">
        <v>1323</v>
      </c>
      <c r="B1312" s="2">
        <f>HYPERLINK("https://www.suredividend.com/sure-analysis-research-database/","PACS Group, Inc.")</f>
        <v>0</v>
      </c>
      <c r="C1312" s="1" t="s">
        <v>1959</v>
      </c>
      <c r="D1312" s="3">
        <v>36.08</v>
      </c>
      <c r="F1312" s="4">
        <v>0</v>
      </c>
      <c r="G1312" s="3">
        <v>0</v>
      </c>
      <c r="H1312" s="5">
        <v>5649.108244</v>
      </c>
      <c r="K1312" s="7">
        <v>0.6733</v>
      </c>
      <c r="L1312" s="3">
        <v>43.08</v>
      </c>
      <c r="M1312" s="3">
        <v>7.5</v>
      </c>
    </row>
    <row r="1313" spans="1:13">
      <c r="A1313" s="8" t="s">
        <v>1324</v>
      </c>
      <c r="B1313" s="2">
        <f>HYPERLINK("https://www.suredividend.com/sure-analysis-research-database/","PagSeguro Digital Ltd.")</f>
        <v>0</v>
      </c>
      <c r="C1313" s="1" t="s">
        <v>1960</v>
      </c>
      <c r="D1313" s="3">
        <v>10.55</v>
      </c>
      <c r="E1313" s="4">
        <v>0.04</v>
      </c>
      <c r="F1313" s="4">
        <v>0.007900000000000001</v>
      </c>
      <c r="G1313" s="3">
        <v>0.38</v>
      </c>
      <c r="H1313" s="5">
        <v>3457.592368</v>
      </c>
      <c r="I1313" s="6">
        <v>10.103</v>
      </c>
      <c r="J1313" s="4">
        <v>0</v>
      </c>
      <c r="K1313" s="7">
        <v>1.2109</v>
      </c>
      <c r="L1313" s="3">
        <v>11.07</v>
      </c>
      <c r="M1313" s="3">
        <v>6.23</v>
      </c>
    </row>
    <row r="1314" spans="1:13">
      <c r="A1314" s="8" t="s">
        <v>1325</v>
      </c>
      <c r="B1314" s="2">
        <f>HYPERLINK("https://www.suredividend.com/sure-analysis-research-database/","PHIBRO ANIMAL HEALTH CORP")</f>
        <v>0</v>
      </c>
      <c r="C1314" s="1" t="s">
        <v>1965</v>
      </c>
      <c r="D1314" s="3">
        <v>41.96</v>
      </c>
      <c r="E1314" s="4">
        <v>0.01</v>
      </c>
      <c r="F1314" s="4">
        <v>0.01214</v>
      </c>
      <c r="G1314" s="3">
        <v>0.48</v>
      </c>
      <c r="H1314" s="5">
        <v>1700.384856</v>
      </c>
      <c r="I1314" s="6">
        <v>25.0735</v>
      </c>
      <c r="J1314" s="4">
        <v>0.28685</v>
      </c>
      <c r="K1314" s="7">
        <v>1.0509</v>
      </c>
      <c r="L1314" s="3">
        <v>46.29</v>
      </c>
      <c r="M1314" s="3">
        <v>15.98</v>
      </c>
    </row>
    <row r="1315" spans="1:13">
      <c r="A1315" s="8" t="s">
        <v>1326</v>
      </c>
      <c r="B1315" s="2">
        <f>HYPERLINK("https://www.suredividend.com/sure-analysis-research-database/","Proficient Auto Logistics, Inc")</f>
        <v>0</v>
      </c>
      <c r="C1315" s="1" t="s">
        <v>1959</v>
      </c>
      <c r="D1315" s="3">
        <v>10.1</v>
      </c>
      <c r="F1315" s="4">
        <v>0</v>
      </c>
      <c r="G1315" s="3">
        <v>0</v>
      </c>
      <c r="H1315" s="5">
        <v>282.686825</v>
      </c>
      <c r="J1315" s="4">
        <v>0</v>
      </c>
      <c r="K1315" s="7">
        <v>1.7894</v>
      </c>
      <c r="L1315" s="3">
        <v>11.37</v>
      </c>
      <c r="M1315" s="3">
        <v>5.76</v>
      </c>
    </row>
    <row r="1316" spans="1:13">
      <c r="A1316" s="8" t="s">
        <v>1327</v>
      </c>
      <c r="B1316" s="2">
        <f>HYPERLINK("https://www.suredividend.com/sure-analysis-research-database/","PAMT CORP")</f>
        <v>0</v>
      </c>
      <c r="C1316" s="1" t="s">
        <v>1959</v>
      </c>
      <c r="D1316" s="3">
        <v>11.9</v>
      </c>
      <c r="F1316" s="4">
        <v>0</v>
      </c>
      <c r="G1316" s="3">
        <v>0.05</v>
      </c>
      <c r="H1316" s="5">
        <v>245.880735</v>
      </c>
      <c r="J1316" s="4">
        <v>0</v>
      </c>
      <c r="K1316" s="7">
        <v>0.7149</v>
      </c>
      <c r="L1316" s="3">
        <v>17.29</v>
      </c>
      <c r="M1316" s="3">
        <v>8.9</v>
      </c>
    </row>
    <row r="1317" spans="1:13">
      <c r="A1317" s="8" t="s">
        <v>1328</v>
      </c>
      <c r="B1317" s="2">
        <f>HYPERLINK("https://www.suredividend.com/sure-analysis-research-database/","Pangaea Logistics Solutions Ltd.")</f>
        <v>0</v>
      </c>
      <c r="C1317" s="1" t="s">
        <v>1964</v>
      </c>
      <c r="D1317" s="3">
        <v>7.2</v>
      </c>
      <c r="E1317" s="4">
        <v>0.04</v>
      </c>
      <c r="F1317" s="4">
        <v>0.04275</v>
      </c>
      <c r="G1317" s="3">
        <v>0.25</v>
      </c>
      <c r="H1317" s="5">
        <v>463.912132</v>
      </c>
      <c r="I1317" s="6">
        <v>29.1389</v>
      </c>
      <c r="J1317" s="4">
        <v>2.309702</v>
      </c>
      <c r="K1317" s="7">
        <v>0.8531</v>
      </c>
      <c r="L1317" s="3">
        <v>7.42</v>
      </c>
      <c r="M1317" s="3">
        <v>3.82</v>
      </c>
    </row>
    <row r="1318" spans="1:13">
      <c r="A1318" s="8" t="s">
        <v>1329</v>
      </c>
      <c r="B1318" s="2">
        <f>HYPERLINK("https://www.suredividend.com/sure-analysis-research-database/","PAR TECHNOLOGY CORP")</f>
        <v>0</v>
      </c>
      <c r="C1318" s="1" t="s">
        <v>1960</v>
      </c>
      <c r="D1318" s="3">
        <v>33.395</v>
      </c>
      <c r="F1318" s="4">
        <v>0</v>
      </c>
      <c r="G1318" s="3">
        <v>0.31</v>
      </c>
      <c r="H1318" s="5">
        <v>1355.334558</v>
      </c>
      <c r="J1318" s="4">
        <v>0</v>
      </c>
      <c r="K1318" s="7">
        <v>1.5702</v>
      </c>
      <c r="L1318" s="3">
        <v>74.55</v>
      </c>
      <c r="M1318" s="3">
        <v>31.65</v>
      </c>
    </row>
    <row r="1319" spans="1:13">
      <c r="A1319" s="8" t="s">
        <v>1330</v>
      </c>
      <c r="B1319" s="2">
        <f>HYPERLINK("https://www.suredividend.com/sure-analysis-research-database/","PAR PACIFIC HOLDINGS, INC.")</f>
        <v>0</v>
      </c>
      <c r="C1319" s="1" t="s">
        <v>1969</v>
      </c>
      <c r="D1319" s="3">
        <v>37.48</v>
      </c>
      <c r="F1319" s="4">
        <v>0</v>
      </c>
      <c r="G1319" s="3">
        <v>0</v>
      </c>
      <c r="H1319" s="5">
        <v>1890.943217</v>
      </c>
      <c r="K1319" s="7">
        <v>0.6296</v>
      </c>
      <c r="L1319" s="3">
        <v>48.4</v>
      </c>
      <c r="M1319" s="3">
        <v>11.86</v>
      </c>
    </row>
    <row r="1320" spans="1:13">
      <c r="A1320" s="8" t="s">
        <v>1331</v>
      </c>
      <c r="B1320" s="2">
        <f>HYPERLINK("https://www.suredividend.com/sure-analysis-PATK/","PATRICK INDUSTRIES INC")</f>
        <v>0</v>
      </c>
      <c r="C1320" s="1" t="s">
        <v>1964</v>
      </c>
      <c r="D1320" s="3">
        <v>133.13</v>
      </c>
      <c r="E1320" s="4">
        <v>0.01412153534139563</v>
      </c>
      <c r="F1320" s="4">
        <v>0.01095</v>
      </c>
      <c r="G1320" s="3">
        <v>1.67</v>
      </c>
      <c r="H1320" s="5">
        <v>4426.38629</v>
      </c>
      <c r="I1320" s="6">
        <v>36.7228</v>
      </c>
      <c r="J1320" s="4">
        <v>0.440453</v>
      </c>
      <c r="K1320" s="7">
        <v>1.2935</v>
      </c>
      <c r="L1320" s="3">
        <v>133.31</v>
      </c>
      <c r="M1320" s="3">
        <v>72.09</v>
      </c>
    </row>
    <row r="1321" spans="1:13">
      <c r="A1321" s="8" t="s">
        <v>1332</v>
      </c>
      <c r="B1321" s="2">
        <f>HYPERLINK("https://www.suredividend.com/sure-analysis-research-database/","Patria Investments Limited")</f>
        <v>0</v>
      </c>
      <c r="C1321" s="1" t="s">
        <v>1959</v>
      </c>
      <c r="D1321" s="3">
        <v>17.19</v>
      </c>
      <c r="E1321" s="4">
        <v>0.03</v>
      </c>
      <c r="F1321" s="4">
        <v>0.04447</v>
      </c>
      <c r="G1321" s="3">
        <v>0.6</v>
      </c>
      <c r="H1321" s="5">
        <v>2640.146228</v>
      </c>
      <c r="I1321" s="6">
        <v>21.4245</v>
      </c>
      <c r="J1321" s="4">
        <v>0</v>
      </c>
      <c r="K1321" s="7">
        <v>0.8109</v>
      </c>
      <c r="L1321" s="3">
        <v>17.8</v>
      </c>
      <c r="M1321" s="3">
        <v>9.119999999999999</v>
      </c>
    </row>
    <row r="1322" spans="1:13">
      <c r="A1322" s="8" t="s">
        <v>1333</v>
      </c>
      <c r="B1322" s="2">
        <f>HYPERLINK("https://www.suredividend.com/sure-analysis-research-database/","Payoneer Global Inc.")</f>
        <v>0</v>
      </c>
      <c r="C1322" s="1" t="s">
        <v>1959</v>
      </c>
      <c r="D1322" s="3">
        <v>5.49</v>
      </c>
      <c r="F1322" s="4">
        <v>0</v>
      </c>
      <c r="G1322" s="3">
        <v>0</v>
      </c>
      <c r="H1322" s="5">
        <v>1949.728463</v>
      </c>
      <c r="I1322" s="6">
        <v>26.9411</v>
      </c>
      <c r="J1322" s="4">
        <v>0</v>
      </c>
      <c r="K1322" s="7">
        <v>1.2858</v>
      </c>
      <c r="L1322" s="3">
        <v>11.19</v>
      </c>
      <c r="M1322" s="3">
        <v>4.92</v>
      </c>
    </row>
    <row r="1323" spans="1:13">
      <c r="A1323" s="8" t="s">
        <v>1334</v>
      </c>
      <c r="B1323" s="2">
        <f>HYPERLINK("https://www.suredividend.com/sure-analysis-research-database/","Paysign, Inc.")</f>
        <v>0</v>
      </c>
      <c r="C1323" s="1" t="s">
        <v>1964</v>
      </c>
      <c r="D1323" s="3">
        <v>4.31</v>
      </c>
      <c r="F1323" s="4">
        <v>0</v>
      </c>
      <c r="G1323" s="3">
        <v>0</v>
      </c>
      <c r="H1323" s="5">
        <v>239.436563</v>
      </c>
      <c r="I1323" s="6">
        <v>31.6637</v>
      </c>
      <c r="J1323" s="4">
        <v>0</v>
      </c>
      <c r="K1323" s="7">
        <v>1.536</v>
      </c>
      <c r="L1323" s="3">
        <v>8.880000000000001</v>
      </c>
      <c r="M1323" s="3">
        <v>1.8</v>
      </c>
    </row>
    <row r="1324" spans="1:13">
      <c r="A1324" s="8" t="s">
        <v>1335</v>
      </c>
      <c r="B1324" s="2">
        <f>HYPERLINK("https://www.suredividend.com/sure-analysis-research-database/","PBF Energy Inc.")</f>
        <v>0</v>
      </c>
      <c r="C1324" s="1" t="s">
        <v>1969</v>
      </c>
      <c r="D1324" s="3">
        <v>32.56</v>
      </c>
      <c r="E1324" s="4">
        <v>0.03</v>
      </c>
      <c r="F1324" s="4">
        <v>0.02479</v>
      </c>
      <c r="G1324" s="3">
        <v>1.1</v>
      </c>
      <c r="H1324" s="5">
        <v>3802.11495</v>
      </c>
      <c r="K1324" s="7">
        <v>1.0536</v>
      </c>
      <c r="L1324" s="3">
        <v>41.17</v>
      </c>
      <c r="M1324" s="3">
        <v>13.19</v>
      </c>
    </row>
    <row r="1325" spans="1:13">
      <c r="A1325" s="8" t="s">
        <v>1336</v>
      </c>
      <c r="B1325" s="2">
        <f>HYPERLINK("https://www.suredividend.com/sure-analysis-research-database/","Pioneer Bancorp, Inc./MD")</f>
        <v>0</v>
      </c>
      <c r="C1325" s="1" t="s">
        <v>1962</v>
      </c>
      <c r="D1325" s="3">
        <v>13.87</v>
      </c>
      <c r="F1325" s="4">
        <v>0</v>
      </c>
      <c r="G1325" s="3">
        <v>0</v>
      </c>
      <c r="H1325" s="5">
        <v>347.867187</v>
      </c>
      <c r="I1325" s="6">
        <v>19.1694</v>
      </c>
      <c r="J1325" s="4">
        <v>0</v>
      </c>
      <c r="K1325" s="7">
        <v>0.4422</v>
      </c>
      <c r="L1325" s="3">
        <v>14.94</v>
      </c>
      <c r="M1325" s="3">
        <v>10.6</v>
      </c>
    </row>
    <row r="1326" spans="1:13">
      <c r="A1326" s="8" t="s">
        <v>1337</v>
      </c>
      <c r="B1326" s="2">
        <f>HYPERLINK("https://www.suredividend.com/sure-analysis-research-database/","Prestige Consumer Healthcare Inc.")</f>
        <v>0</v>
      </c>
      <c r="C1326" s="1" t="s">
        <v>1965</v>
      </c>
      <c r="D1326" s="3">
        <v>66.3</v>
      </c>
      <c r="F1326" s="4">
        <v>0</v>
      </c>
      <c r="G1326" s="3">
        <v>0.47</v>
      </c>
      <c r="H1326" s="5">
        <v>3221.62867</v>
      </c>
      <c r="I1326" s="6">
        <v>16.041</v>
      </c>
      <c r="J1326" s="4">
        <v>0</v>
      </c>
      <c r="K1326" s="7">
        <v>0.3542</v>
      </c>
      <c r="L1326" s="3">
        <v>90.04000000000001</v>
      </c>
      <c r="M1326" s="3">
        <v>57.25</v>
      </c>
    </row>
    <row r="1327" spans="1:13">
      <c r="A1327" s="8" t="s">
        <v>1338</v>
      </c>
      <c r="B1327" s="2">
        <f>HYPERLINK("https://www.suredividend.com/sure-analysis-research-database/","PITNEY BOWES INC /DE/")</f>
        <v>0</v>
      </c>
      <c r="C1327" s="1" t="s">
        <v>1964</v>
      </c>
      <c r="D1327" s="3">
        <v>10.19</v>
      </c>
      <c r="E1327" s="4">
        <v>0.03</v>
      </c>
      <c r="F1327" s="4">
        <v>0.02157</v>
      </c>
      <c r="G1327" s="3">
        <v>0.35</v>
      </c>
      <c r="H1327" s="5">
        <v>1639.756091</v>
      </c>
      <c r="I1327" s="6">
        <v>20.5003</v>
      </c>
      <c r="J1327" s="4">
        <v>0.575281</v>
      </c>
      <c r="K1327" s="7">
        <v>1.742</v>
      </c>
      <c r="L1327" s="3">
        <v>12.89</v>
      </c>
      <c r="M1327" s="3">
        <v>7.08</v>
      </c>
    </row>
    <row r="1328" spans="1:13">
      <c r="A1328" s="8" t="s">
        <v>1339</v>
      </c>
      <c r="B1328" s="2">
        <f>HYPERLINK("https://www.suredividend.com/sure-analysis-research-database/","POTBELLY CORP")</f>
        <v>0</v>
      </c>
      <c r="C1328" s="1" t="s">
        <v>1963</v>
      </c>
      <c r="D1328" s="3">
        <v>17.15</v>
      </c>
      <c r="F1328" s="4">
        <v>0</v>
      </c>
      <c r="G1328" s="3">
        <v>0</v>
      </c>
      <c r="H1328" s="5">
        <v>518.0627050000001</v>
      </c>
      <c r="I1328" s="6">
        <v>48.0801</v>
      </c>
      <c r="J1328" s="4">
        <v>0.10518</v>
      </c>
      <c r="K1328" s="7">
        <v>1.4111</v>
      </c>
    </row>
    <row r="1329" spans="1:13">
      <c r="A1329" s="8" t="s">
        <v>1340</v>
      </c>
      <c r="B1329" s="2">
        <f>HYPERLINK("https://www.suredividend.com/sure-analysis-research-database/","PUMA BIOTECHNOLOGY, INC.")</f>
        <v>0</v>
      </c>
      <c r="C1329" s="1" t="s">
        <v>1965</v>
      </c>
      <c r="D1329" s="3">
        <v>7.03</v>
      </c>
      <c r="F1329" s="4">
        <v>0</v>
      </c>
      <c r="G1329" s="3">
        <v>0</v>
      </c>
      <c r="H1329" s="5">
        <v>347.194727</v>
      </c>
      <c r="I1329" s="6">
        <v>9.389200000000001</v>
      </c>
      <c r="J1329" s="4">
        <v>0</v>
      </c>
      <c r="K1329" s="7">
        <v>1.2311</v>
      </c>
      <c r="L1329" s="3">
        <v>6.9</v>
      </c>
      <c r="M1329" s="3">
        <v>2.58</v>
      </c>
    </row>
    <row r="1330" spans="1:13">
      <c r="A1330" s="8" t="s">
        <v>1341</v>
      </c>
      <c r="B1330" s="2">
        <f>HYPERLINK("https://www.suredividend.com/sure-analysis-PCB/","PCB BANCORP")</f>
        <v>0</v>
      </c>
      <c r="C1330" s="1" t="s">
        <v>1962</v>
      </c>
      <c r="D1330" s="3">
        <v>22.75</v>
      </c>
      <c r="E1330" s="4">
        <v>0.03516483516483516</v>
      </c>
      <c r="F1330" s="4">
        <v>0.03016</v>
      </c>
      <c r="G1330" s="3">
        <v>0.8</v>
      </c>
      <c r="H1330" s="5">
        <v>324.859976</v>
      </c>
      <c r="I1330" s="6">
        <v>9.3649</v>
      </c>
      <c r="J1330" s="4">
        <v>0.334317</v>
      </c>
      <c r="K1330" s="7">
        <v>0.7321</v>
      </c>
      <c r="L1330" s="3">
        <v>24.04</v>
      </c>
      <c r="M1330" s="3">
        <v>15.54</v>
      </c>
    </row>
    <row r="1331" spans="1:13">
      <c r="A1331" s="8" t="s">
        <v>1342</v>
      </c>
      <c r="B1331" s="2">
        <f>HYPERLINK("https://www.suredividend.com/sure-analysis-research-database/","POTLATCHDELTIC CORP")</f>
        <v>0</v>
      </c>
      <c r="C1331" s="1" t="s">
        <v>1961</v>
      </c>
      <c r="D1331" s="3">
        <v>45.25</v>
      </c>
      <c r="E1331" s="4">
        <v>0.04</v>
      </c>
      <c r="F1331" s="4">
        <v>0.06844</v>
      </c>
      <c r="G1331" s="3">
        <v>1.8</v>
      </c>
      <c r="H1331" s="5">
        <v>3495.87193</v>
      </c>
      <c r="I1331" s="6">
        <v>54.4138</v>
      </c>
      <c r="J1331" s="4">
        <v>2.185366</v>
      </c>
      <c r="K1331" s="7">
        <v>0.764</v>
      </c>
      <c r="L1331" s="3">
        <v>46.07</v>
      </c>
      <c r="M1331" s="3">
        <v>35.6</v>
      </c>
    </row>
    <row r="1332" spans="1:13">
      <c r="A1332" s="8" t="s">
        <v>1343</v>
      </c>
      <c r="B1332" s="2">
        <f>HYPERLINK("https://www.suredividend.com/sure-analysis-research-database/","Pacira BioSciences, Inc.")</f>
        <v>0</v>
      </c>
      <c r="C1332" s="1" t="s">
        <v>1965</v>
      </c>
      <c r="D1332" s="3">
        <v>20.06</v>
      </c>
      <c r="F1332" s="4">
        <v>0</v>
      </c>
      <c r="G1332" s="3">
        <v>0</v>
      </c>
      <c r="H1332" s="5">
        <v>870.7506059999999</v>
      </c>
      <c r="J1332" s="4">
        <v>0</v>
      </c>
      <c r="K1332" s="7">
        <v>1.1079</v>
      </c>
      <c r="L1332" s="3">
        <v>27.64</v>
      </c>
      <c r="M1332" s="3">
        <v>18.8</v>
      </c>
    </row>
    <row r="1333" spans="1:13">
      <c r="A1333" s="8" t="s">
        <v>1344</v>
      </c>
      <c r="B1333" s="2">
        <f>HYPERLINK("https://www.suredividend.com/sure-analysis-research-database/","PureCycle Technologies, Inc.")</f>
        <v>0</v>
      </c>
      <c r="C1333" s="1" t="s">
        <v>1959</v>
      </c>
      <c r="D1333" s="3">
        <v>11.36</v>
      </c>
      <c r="F1333" s="4">
        <v>0</v>
      </c>
      <c r="G1333" s="3">
        <v>0</v>
      </c>
      <c r="H1333" s="5">
        <v>2048.855126</v>
      </c>
      <c r="J1333" s="4">
        <v>0</v>
      </c>
      <c r="K1333" s="7">
        <v>2.3527</v>
      </c>
      <c r="L1333" s="3">
        <v>17.37</v>
      </c>
      <c r="M1333" s="3">
        <v>5.4</v>
      </c>
    </row>
    <row r="1334" spans="1:13">
      <c r="A1334" s="8" t="s">
        <v>1345</v>
      </c>
      <c r="B1334" s="2">
        <f>HYPERLINK("https://www.suredividend.com/sure-analysis-research-database/","Vaxcyte, Inc.")</f>
        <v>0</v>
      </c>
      <c r="C1334" s="1" t="s">
        <v>1959</v>
      </c>
      <c r="D1334" s="3">
        <v>50.2</v>
      </c>
      <c r="F1334" s="4">
        <v>0</v>
      </c>
      <c r="G1334" s="3">
        <v>0</v>
      </c>
      <c r="H1334" s="5">
        <v>6574.112528</v>
      </c>
      <c r="J1334" s="4">
        <v>0</v>
      </c>
      <c r="K1334" s="7">
        <v>1.273</v>
      </c>
      <c r="L1334" s="3">
        <v>93.77</v>
      </c>
      <c r="M1334" s="3">
        <v>27.66</v>
      </c>
    </row>
    <row r="1335" spans="1:13">
      <c r="A1335" s="8" t="s">
        <v>1346</v>
      </c>
      <c r="B1335" s="2">
        <f>HYPERLINK("https://www.suredividend.com/sure-analysis-research-database/","PURE CYCLE CORP")</f>
        <v>0</v>
      </c>
      <c r="C1335" s="1" t="s">
        <v>1967</v>
      </c>
      <c r="D1335" s="3">
        <v>11.78</v>
      </c>
      <c r="F1335" s="4">
        <v>0</v>
      </c>
      <c r="G1335" s="3">
        <v>0</v>
      </c>
      <c r="H1335" s="5">
        <v>284.269139</v>
      </c>
      <c r="I1335" s="6">
        <v>20.6922</v>
      </c>
      <c r="J1335" s="4">
        <v>0</v>
      </c>
      <c r="K1335" s="7">
        <v>0.8073</v>
      </c>
      <c r="L1335" s="3">
        <v>12.25</v>
      </c>
      <c r="M1335" s="3">
        <v>9.65</v>
      </c>
    </row>
    <row r="1336" spans="1:13">
      <c r="A1336" s="8" t="s">
        <v>1347</v>
      </c>
      <c r="B1336" s="2">
        <f>HYPERLINK("https://www.suredividend.com/sure-analysis-research-database/","PagerDuty, Inc.")</f>
        <v>0</v>
      </c>
      <c r="C1336" s="1" t="s">
        <v>1960</v>
      </c>
      <c r="D1336" s="3">
        <v>10.8</v>
      </c>
      <c r="F1336" s="4">
        <v>0</v>
      </c>
      <c r="G1336" s="3">
        <v>0</v>
      </c>
      <c r="H1336" s="5">
        <v>988.436179</v>
      </c>
      <c r="I1336" s="6">
        <v>6.493</v>
      </c>
      <c r="J1336" s="4">
        <v>0</v>
      </c>
      <c r="K1336" s="7">
        <v>1.4331</v>
      </c>
      <c r="L1336" s="3">
        <v>20</v>
      </c>
      <c r="M1336" s="3">
        <v>10.93</v>
      </c>
    </row>
    <row r="1337" spans="1:13">
      <c r="A1337" s="8" t="s">
        <v>1348</v>
      </c>
      <c r="B1337" s="2">
        <f>HYPERLINK("https://www.suredividend.com/sure-analysis-research-database/","PATTERSON COMPANIES, INC.")</f>
        <v>0</v>
      </c>
      <c r="C1337" s="1" t="s">
        <v>1965</v>
      </c>
      <c r="D1337" s="3">
        <v>0</v>
      </c>
      <c r="E1337" s="4">
        <v>0.03</v>
      </c>
      <c r="F1337" s="4">
        <v>0.02656</v>
      </c>
      <c r="G1337" s="3">
        <v>1.04</v>
      </c>
      <c r="H1337" s="5">
        <v>2771.89042</v>
      </c>
      <c r="I1337" s="6">
        <v>19.974</v>
      </c>
      <c r="J1337" s="4">
        <v>0.667964</v>
      </c>
      <c r="K1337" s="7">
        <v>0.4577</v>
      </c>
    </row>
    <row r="1338" spans="1:13">
      <c r="A1338" s="8" t="s">
        <v>1349</v>
      </c>
      <c r="B1338" s="2">
        <f>HYPERLINK("https://www.suredividend.com/sure-analysis-research-database/","PDF SOLUTIONS INC")</f>
        <v>0</v>
      </c>
      <c r="C1338" s="1" t="s">
        <v>1960</v>
      </c>
      <c r="D1338" s="3">
        <v>35.88</v>
      </c>
      <c r="F1338" s="4">
        <v>0</v>
      </c>
      <c r="G1338" s="3">
        <v>0</v>
      </c>
      <c r="H1338" s="5">
        <v>1416.93471</v>
      </c>
      <c r="J1338" s="4">
        <v>0</v>
      </c>
      <c r="K1338" s="7">
        <v>1.3747</v>
      </c>
      <c r="L1338" s="3">
        <v>36.87</v>
      </c>
      <c r="M1338" s="3">
        <v>15.91</v>
      </c>
    </row>
    <row r="1339" spans="1:13">
      <c r="A1339" s="8" t="s">
        <v>1350</v>
      </c>
      <c r="B1339" s="2">
        <f>HYPERLINK("https://www.suredividend.com/sure-analysis-research-database/","Ponce Financial Group, Inc.")</f>
        <v>0</v>
      </c>
      <c r="C1339" s="1" t="s">
        <v>1962</v>
      </c>
      <c r="D1339" s="3">
        <v>16.65</v>
      </c>
      <c r="F1339" s="4">
        <v>0</v>
      </c>
      <c r="G1339" s="3">
        <v>0</v>
      </c>
      <c r="H1339" s="5">
        <v>400.578776</v>
      </c>
      <c r="I1339" s="6">
        <v>19.6613</v>
      </c>
      <c r="J1339" s="4">
        <v>0.052372</v>
      </c>
      <c r="K1339" s="7">
        <v>0.909</v>
      </c>
      <c r="L1339" s="3">
        <v>18.01</v>
      </c>
      <c r="M1339" s="3">
        <v>10.88</v>
      </c>
    </row>
    <row r="1340" spans="1:13">
      <c r="A1340" s="8" t="s">
        <v>1351</v>
      </c>
      <c r="B1340" s="2">
        <f>HYPERLINK("https://www.suredividend.com/sure-analysis-research-database/","")</f>
        <v>0</v>
      </c>
      <c r="C1340" s="1" t="s">
        <v>1965</v>
      </c>
      <c r="D1340" s="3">
        <v>0</v>
      </c>
      <c r="F1340" s="4">
        <v>0</v>
      </c>
      <c r="G1340" s="3">
        <v>0.4</v>
      </c>
      <c r="H1340" s="5">
        <v>286.29276</v>
      </c>
      <c r="K1340" s="7">
        <v>0.9001</v>
      </c>
    </row>
    <row r="1341" spans="1:13">
      <c r="A1341" s="8" t="s">
        <v>1352</v>
      </c>
      <c r="B1341" s="2">
        <f>HYPERLINK("https://www.suredividend.com/sure-analysis-research-database/","Piedmont Office Realty Trust, Inc.")</f>
        <v>0</v>
      </c>
      <c r="C1341" s="1" t="s">
        <v>1961</v>
      </c>
      <c r="D1341" s="3">
        <v>8.465</v>
      </c>
      <c r="E1341" s="4">
        <v>0.06</v>
      </c>
      <c r="F1341" s="4">
        <v>0.07033</v>
      </c>
      <c r="G1341" s="3">
        <v>0.5</v>
      </c>
      <c r="H1341" s="5">
        <v>1054.678285</v>
      </c>
      <c r="K1341" s="7">
        <v>1.1301</v>
      </c>
      <c r="L1341" s="3">
        <v>9.19</v>
      </c>
      <c r="M1341" s="3">
        <v>5.46</v>
      </c>
    </row>
    <row r="1342" spans="1:13">
      <c r="A1342" s="8" t="s">
        <v>1353</v>
      </c>
      <c r="B1342" s="2">
        <f>HYPERLINK("https://www.suredividend.com/sure-analysis-research-database/","Pebblebrook Hotel Trust")</f>
        <v>0</v>
      </c>
      <c r="C1342" s="1" t="s">
        <v>1961</v>
      </c>
      <c r="D1342" s="3">
        <v>12.435</v>
      </c>
      <c r="F1342" s="4">
        <v>0.00338</v>
      </c>
      <c r="G1342" s="3">
        <v>0.04</v>
      </c>
      <c r="H1342" s="5">
        <v>1410.857712</v>
      </c>
      <c r="K1342" s="7">
        <v>1.3547</v>
      </c>
      <c r="L1342" s="3">
        <v>14.16</v>
      </c>
      <c r="M1342" s="3">
        <v>7.39</v>
      </c>
    </row>
    <row r="1343" spans="1:13">
      <c r="A1343" s="8" t="s">
        <v>1354</v>
      </c>
      <c r="B1343" s="2">
        <f>HYPERLINK("https://www.suredividend.com/sure-analysis-research-database/","PEOPLES BANCORP OF NORTH CAROLINA INC")</f>
        <v>0</v>
      </c>
      <c r="C1343" s="1" t="s">
        <v>1962</v>
      </c>
      <c r="D1343" s="3">
        <v>37.08</v>
      </c>
      <c r="E1343" s="4">
        <v>0.03</v>
      </c>
      <c r="F1343" s="4">
        <v>0.02424</v>
      </c>
      <c r="G1343" s="3">
        <v>0.96</v>
      </c>
      <c r="H1343" s="5">
        <v>201.453373</v>
      </c>
      <c r="I1343" s="6">
        <v>11.7685</v>
      </c>
      <c r="J1343" s="4">
        <v>0.309919</v>
      </c>
      <c r="K1343" s="7">
        <v>0.8791</v>
      </c>
      <c r="L1343" s="3">
        <v>38.46</v>
      </c>
      <c r="M1343" s="3">
        <v>23.27</v>
      </c>
    </row>
    <row r="1344" spans="1:13">
      <c r="A1344" s="8" t="s">
        <v>1355</v>
      </c>
      <c r="B1344" s="2">
        <f>HYPERLINK("https://www.suredividend.com/sure-analysis-PEBO/","PEOPLES BANCORP INC")</f>
        <v>0</v>
      </c>
      <c r="C1344" s="1" t="s">
        <v>1962</v>
      </c>
      <c r="D1344" s="3">
        <v>32.87</v>
      </c>
      <c r="E1344" s="4">
        <v>0.0498935199269851</v>
      </c>
      <c r="F1344" s="4">
        <v>0.04981</v>
      </c>
      <c r="G1344" s="3">
        <v>1.63</v>
      </c>
      <c r="H1344" s="5">
        <v>1174.627483</v>
      </c>
      <c r="I1344" s="6">
        <v>11.5212</v>
      </c>
      <c r="J1344" s="4">
        <v>0.5611350000000001</v>
      </c>
      <c r="K1344" s="7">
        <v>0.7831</v>
      </c>
      <c r="L1344" s="3">
        <v>32.92</v>
      </c>
      <c r="M1344" s="3">
        <v>25.11</v>
      </c>
    </row>
    <row r="1345" spans="1:13">
      <c r="A1345" s="8" t="s">
        <v>1356</v>
      </c>
      <c r="B1345" s="2">
        <f>HYPERLINK("https://www.suredividend.com/sure-analysis-PECO/","Phillips Edison &amp; Company, Inc.")</f>
        <v>0</v>
      </c>
      <c r="C1345" s="1" t="s">
        <v>1959</v>
      </c>
      <c r="D1345" s="3">
        <v>35.71</v>
      </c>
      <c r="E1345" s="4">
        <v>0.03640436852422291</v>
      </c>
      <c r="F1345" s="4">
        <v>0.02932</v>
      </c>
      <c r="G1345" s="3">
        <v>1.26</v>
      </c>
      <c r="H1345" s="5">
        <v>4493.576</v>
      </c>
      <c r="I1345" s="6">
        <v>54.8532</v>
      </c>
      <c r="J1345" s="4">
        <v>1.898293</v>
      </c>
      <c r="K1345" s="7">
        <v>0.4794</v>
      </c>
      <c r="L1345" s="3">
        <v>36.47</v>
      </c>
      <c r="M1345" s="3">
        <v>31.44</v>
      </c>
    </row>
    <row r="1346" spans="1:13">
      <c r="A1346" s="8" t="s">
        <v>1357</v>
      </c>
      <c r="B1346" s="2">
        <f>HYPERLINK("https://www.suredividend.com/sure-analysis-research-database/","Penguin Solutions, Inc.")</f>
        <v>0</v>
      </c>
      <c r="C1346" s="1" t="s">
        <v>1959</v>
      </c>
      <c r="D1346" s="3">
        <v>20.37</v>
      </c>
      <c r="F1346" s="4">
        <v>0</v>
      </c>
      <c r="G1346" s="3">
        <v>0</v>
      </c>
      <c r="H1346" s="5">
        <v>1063.817578</v>
      </c>
      <c r="I1346" s="6">
        <v>28.2622</v>
      </c>
      <c r="J1346" s="4">
        <v>0.380039</v>
      </c>
      <c r="K1346" s="7">
        <v>2.2351</v>
      </c>
      <c r="L1346" s="3">
        <v>29.8</v>
      </c>
      <c r="M1346" s="3">
        <v>14.2</v>
      </c>
    </row>
    <row r="1347" spans="1:13">
      <c r="A1347" s="8" t="s">
        <v>1358</v>
      </c>
      <c r="B1347" s="2">
        <f>HYPERLINK("https://www.suredividend.com/sure-analysis-research-database/","PepGen Inc.")</f>
        <v>0</v>
      </c>
      <c r="C1347" s="1" t="s">
        <v>1959</v>
      </c>
      <c r="D1347" s="3">
        <v>6.08</v>
      </c>
      <c r="F1347" s="4">
        <v>0</v>
      </c>
      <c r="G1347" s="3">
        <v>0</v>
      </c>
      <c r="H1347" s="5">
        <v>371.927892</v>
      </c>
      <c r="J1347" s="4">
        <v>0</v>
      </c>
      <c r="K1347" s="7">
        <v>0.8475</v>
      </c>
      <c r="L1347" s="3">
        <v>7.8</v>
      </c>
      <c r="M1347" s="3">
        <v>0.88</v>
      </c>
    </row>
    <row r="1348" spans="1:13">
      <c r="A1348" s="8" t="s">
        <v>1359</v>
      </c>
      <c r="B1348" s="2">
        <f>HYPERLINK("https://www.suredividend.com/sure-analysis-research-database/","PERMA FIX ENVIRONMENTAL SERVICES INC")</f>
        <v>0</v>
      </c>
      <c r="C1348" s="1" t="s">
        <v>1964</v>
      </c>
      <c r="D1348" s="3">
        <v>14.5</v>
      </c>
      <c r="F1348" s="4">
        <v>0</v>
      </c>
      <c r="G1348" s="3">
        <v>0</v>
      </c>
      <c r="H1348" s="5">
        <v>269.061629</v>
      </c>
      <c r="J1348" s="4">
        <v>0</v>
      </c>
      <c r="K1348" s="7">
        <v>0.8502999999999999</v>
      </c>
      <c r="L1348" s="3">
        <v>16.5</v>
      </c>
      <c r="M1348" s="3">
        <v>6.25</v>
      </c>
    </row>
    <row r="1349" spans="1:13">
      <c r="A1349" s="8" t="s">
        <v>1360</v>
      </c>
      <c r="B1349" s="2">
        <f>HYPERLINK("https://www.suredividend.com/sure-analysis-PFBC/","Preferred Bank")</f>
        <v>0</v>
      </c>
      <c r="C1349" s="1" t="s">
        <v>1962</v>
      </c>
      <c r="D1349" s="3">
        <v>99.06999999999999</v>
      </c>
      <c r="E1349" s="4">
        <v>0.03230039366104775</v>
      </c>
      <c r="F1349" s="4">
        <v>0.02288</v>
      </c>
      <c r="G1349" s="3">
        <v>3.05</v>
      </c>
      <c r="K1349" s="7">
        <v>0.8258</v>
      </c>
      <c r="L1349" s="3">
        <v>102.19</v>
      </c>
      <c r="M1349" s="3">
        <v>70.14</v>
      </c>
    </row>
    <row r="1350" spans="1:13">
      <c r="A1350" s="8" t="s">
        <v>1361</v>
      </c>
      <c r="B1350" s="2">
        <f>HYPERLINK("https://www.suredividend.com/sure-analysis-PFIS/","PEOPLES FINANCIAL SERVICES CORP.")</f>
        <v>0</v>
      </c>
      <c r="C1350" s="1" t="s">
        <v>1962</v>
      </c>
      <c r="D1350" s="3">
        <v>52.19</v>
      </c>
      <c r="E1350" s="4">
        <v>0.04732707415213643</v>
      </c>
      <c r="F1350" s="4">
        <v>0.03867</v>
      </c>
      <c r="G1350" s="3">
        <v>2.47</v>
      </c>
      <c r="H1350" s="5">
        <v>524.316454</v>
      </c>
      <c r="I1350" s="6">
        <v>9.8375</v>
      </c>
      <c r="J1350" s="4">
        <v>0.462175</v>
      </c>
      <c r="K1350" s="7">
        <v>0.7817</v>
      </c>
      <c r="L1350" s="3">
        <v>54</v>
      </c>
      <c r="M1350" s="3">
        <v>37.49</v>
      </c>
    </row>
    <row r="1351" spans="1:13">
      <c r="A1351" s="8" t="s">
        <v>1362</v>
      </c>
      <c r="B1351" s="2">
        <f>HYPERLINK("https://www.suredividend.com/sure-analysis-research-database/","PROVIDENT FINANCIAL SERVICES INC")</f>
        <v>0</v>
      </c>
      <c r="C1351" s="1" t="s">
        <v>1962</v>
      </c>
      <c r="D1351" s="3">
        <v>21.35</v>
      </c>
      <c r="E1351" s="4">
        <v>0.05</v>
      </c>
      <c r="F1351" s="4">
        <v>0.0473</v>
      </c>
      <c r="G1351" s="3">
        <v>0.96</v>
      </c>
      <c r="H1351" s="5">
        <v>2767.888317</v>
      </c>
      <c r="I1351" s="6">
        <v>10.8014</v>
      </c>
      <c r="J1351" s="4">
        <v>0.495532</v>
      </c>
      <c r="K1351" s="7">
        <v>1.0232</v>
      </c>
      <c r="L1351" s="3">
        <v>21.29</v>
      </c>
      <c r="M1351" s="3">
        <v>13.79</v>
      </c>
    </row>
    <row r="1352" spans="1:13">
      <c r="A1352" s="8" t="s">
        <v>1363</v>
      </c>
      <c r="B1352" s="2">
        <f>HYPERLINK("https://www.suredividend.com/sure-analysis-research-database/","PennyMac Financial Services, Inc.")</f>
        <v>0</v>
      </c>
      <c r="C1352" s="1" t="s">
        <v>1962</v>
      </c>
      <c r="D1352" s="3">
        <v>152.3</v>
      </c>
      <c r="E1352" s="4">
        <v>0.01</v>
      </c>
      <c r="F1352" s="4">
        <v>0.00711</v>
      </c>
      <c r="G1352" s="3">
        <v>1.2</v>
      </c>
      <c r="H1352" s="5">
        <v>7914.34169</v>
      </c>
      <c r="I1352" s="6">
        <v>11.9817</v>
      </c>
      <c r="J1352" s="4">
        <v>0.124076</v>
      </c>
      <c r="K1352" s="7">
        <v>0.7811</v>
      </c>
      <c r="L1352" s="3">
        <v>160.36</v>
      </c>
      <c r="M1352" s="3">
        <v>85.03</v>
      </c>
    </row>
    <row r="1353" spans="1:13">
      <c r="A1353" s="8" t="s">
        <v>1364</v>
      </c>
      <c r="B1353" s="2">
        <f>HYPERLINK("https://www.suredividend.com/sure-analysis-research-database/","PEAPACK GLADSTONE FINANCIAL CORP")</f>
        <v>0</v>
      </c>
      <c r="C1353" s="1" t="s">
        <v>1962</v>
      </c>
      <c r="D1353" s="3">
        <v>30.72</v>
      </c>
      <c r="E1353" s="4">
        <v>0.01</v>
      </c>
      <c r="F1353" s="4">
        <v>0.00705</v>
      </c>
      <c r="G1353" s="3">
        <v>0.2</v>
      </c>
      <c r="H1353" s="5">
        <v>539.382344</v>
      </c>
      <c r="I1353" s="6">
        <v>15.6765</v>
      </c>
      <c r="J1353" s="4">
        <v>0.102247</v>
      </c>
      <c r="K1353" s="7">
        <v>1.0186</v>
      </c>
      <c r="L1353" s="3">
        <v>35.21</v>
      </c>
      <c r="M1353" s="3">
        <v>23.82</v>
      </c>
    </row>
    <row r="1354" spans="1:13">
      <c r="A1354" s="8" t="s">
        <v>1365</v>
      </c>
      <c r="B1354" s="2">
        <f>HYPERLINK("https://www.suredividend.com/sure-analysis-research-database/","PRECIGEN, INC.")</f>
        <v>0</v>
      </c>
      <c r="C1354" s="1" t="s">
        <v>1965</v>
      </c>
      <c r="D1354" s="3">
        <v>4.49</v>
      </c>
      <c r="F1354" s="4">
        <v>0</v>
      </c>
      <c r="G1354" s="3">
        <v>0</v>
      </c>
      <c r="H1354" s="5">
        <v>1578.057266</v>
      </c>
      <c r="J1354" s="4">
        <v>0</v>
      </c>
      <c r="K1354" s="7">
        <v>2.0939</v>
      </c>
      <c r="L1354" s="3">
        <v>5.23</v>
      </c>
      <c r="M1354" s="3">
        <v>1.11</v>
      </c>
    </row>
    <row r="1355" spans="1:13">
      <c r="A1355" s="8" t="s">
        <v>1366</v>
      </c>
      <c r="B1355" s="2">
        <f>HYPERLINK("https://www.suredividend.com/sure-analysis-research-database/","Progyny, Inc.")</f>
        <v>0</v>
      </c>
      <c r="C1355" s="1" t="s">
        <v>1965</v>
      </c>
      <c r="D1355" s="3">
        <v>25.45</v>
      </c>
      <c r="F1355" s="4">
        <v>0</v>
      </c>
      <c r="G1355" s="3">
        <v>0</v>
      </c>
      <c r="H1355" s="5">
        <v>2194.086594</v>
      </c>
      <c r="I1355" s="6">
        <v>38.7874</v>
      </c>
      <c r="J1355" s="4">
        <v>0</v>
      </c>
      <c r="K1355" s="7">
        <v>0.9179</v>
      </c>
      <c r="L1355" s="3">
        <v>28.75</v>
      </c>
      <c r="M1355" s="3">
        <v>17.98</v>
      </c>
    </row>
    <row r="1356" spans="1:13">
      <c r="A1356" s="8" t="s">
        <v>1367</v>
      </c>
      <c r="B1356" s="2">
        <f>HYPERLINK("https://www.suredividend.com/sure-analysis-research-database/","Paramount Group, Inc.")</f>
        <v>0</v>
      </c>
      <c r="C1356" s="1" t="s">
        <v>1961</v>
      </c>
      <c r="D1356" s="3">
        <v>6.59</v>
      </c>
      <c r="F1356" s="4">
        <v>0.02553</v>
      </c>
      <c r="G1356" s="3">
        <v>0.14</v>
      </c>
      <c r="H1356" s="5">
        <v>1464.523018</v>
      </c>
      <c r="K1356" s="7">
        <v>0.8802</v>
      </c>
    </row>
    <row r="1357" spans="1:13">
      <c r="A1357" s="8" t="s">
        <v>1368</v>
      </c>
      <c r="B1357" s="2">
        <f>HYPERLINK("https://www.suredividend.com/sure-analysis-research-database/","Pagaya Technologies Ltd.")</f>
        <v>0</v>
      </c>
      <c r="C1357" s="1" t="s">
        <v>1959</v>
      </c>
      <c r="D1357" s="3">
        <v>22.18</v>
      </c>
      <c r="F1357" s="4">
        <v>0</v>
      </c>
      <c r="G1357" s="3">
        <v>0</v>
      </c>
      <c r="H1357" s="5">
        <v>1777.041756</v>
      </c>
      <c r="K1357" s="7">
        <v>2.4614</v>
      </c>
      <c r="L1357" s="3">
        <v>44.99</v>
      </c>
      <c r="M1357" s="3">
        <v>8.5</v>
      </c>
    </row>
    <row r="1358" spans="1:13">
      <c r="A1358" s="8" t="s">
        <v>1369</v>
      </c>
      <c r="B1358" s="2">
        <f>HYPERLINK("https://www.suredividend.com/sure-analysis-research-database/","Phathom Pharmaceuticals, Inc.")</f>
        <v>0</v>
      </c>
      <c r="C1358" s="1" t="s">
        <v>1965</v>
      </c>
      <c r="D1358" s="3">
        <v>13.62</v>
      </c>
      <c r="F1358" s="4">
        <v>0</v>
      </c>
      <c r="G1358" s="3">
        <v>0</v>
      </c>
      <c r="H1358" s="5">
        <v>968.194168</v>
      </c>
      <c r="J1358" s="4">
        <v>0</v>
      </c>
      <c r="K1358" s="7">
        <v>2.0528</v>
      </c>
      <c r="L1358" s="3">
        <v>18.31</v>
      </c>
      <c r="M1358" s="3">
        <v>2.21</v>
      </c>
    </row>
    <row r="1359" spans="1:13">
      <c r="A1359" s="8" t="s">
        <v>1370</v>
      </c>
      <c r="B1359" s="2">
        <f>HYPERLINK("https://www.suredividend.com/sure-analysis-research-database/","PHINIA INC.")</f>
        <v>0</v>
      </c>
      <c r="C1359" s="1" t="s">
        <v>1959</v>
      </c>
      <c r="D1359" s="3">
        <v>70.31999999999999</v>
      </c>
      <c r="E1359" s="4">
        <v>0.02</v>
      </c>
      <c r="F1359" s="4">
        <v>0.00767</v>
      </c>
      <c r="G1359" s="3">
        <v>1.08</v>
      </c>
      <c r="H1359" s="5">
        <v>2704.057689</v>
      </c>
      <c r="I1359" s="6">
        <v>30.0451</v>
      </c>
      <c r="J1359" s="4">
        <v>0.477778</v>
      </c>
      <c r="K1359" s="7">
        <v>0.9655</v>
      </c>
      <c r="L1359" s="3">
        <v>70.98</v>
      </c>
      <c r="M1359" s="3">
        <v>35.67</v>
      </c>
    </row>
    <row r="1360" spans="1:13">
      <c r="A1360" s="8" t="s">
        <v>1371</v>
      </c>
      <c r="B1360" s="2">
        <f>HYPERLINK("https://www.suredividend.com/sure-analysis-research-database/","Performant Healthcare Inc")</f>
        <v>0</v>
      </c>
      <c r="C1360" s="1" t="s">
        <v>1959</v>
      </c>
      <c r="D1360" s="3">
        <v>7.745</v>
      </c>
      <c r="F1360" s="4">
        <v>0</v>
      </c>
      <c r="G1360" s="3">
        <v>0</v>
      </c>
      <c r="H1360" s="5">
        <v>612.226936</v>
      </c>
      <c r="J1360" s="4">
        <v>0</v>
      </c>
      <c r="K1360" s="7">
        <v>0.1309</v>
      </c>
    </row>
    <row r="1361" spans="1:13">
      <c r="A1361" s="8" t="s">
        <v>1372</v>
      </c>
      <c r="B1361" s="2">
        <f>HYPERLINK("https://www.suredividend.com/sure-analysis-research-database/","Phreesia, Inc.")</f>
        <v>0</v>
      </c>
      <c r="C1361" s="1" t="s">
        <v>1965</v>
      </c>
      <c r="D1361" s="3">
        <v>15.62</v>
      </c>
      <c r="F1361" s="4">
        <v>0</v>
      </c>
      <c r="G1361" s="3">
        <v>0</v>
      </c>
      <c r="H1361" s="5">
        <v>941.682987</v>
      </c>
      <c r="J1361" s="4">
        <v>0</v>
      </c>
      <c r="K1361" s="7">
        <v>1.774</v>
      </c>
      <c r="L1361" s="3">
        <v>32.76</v>
      </c>
      <c r="M1361" s="3">
        <v>15.41</v>
      </c>
    </row>
    <row r="1362" spans="1:13">
      <c r="A1362" s="8" t="s">
        <v>1373</v>
      </c>
      <c r="B1362" s="2">
        <f>HYPERLINK("https://www.suredividend.com/sure-analysis-research-database/","IMPINJ INC")</f>
        <v>0</v>
      </c>
      <c r="C1362" s="1" t="s">
        <v>1960</v>
      </c>
      <c r="D1362" s="3">
        <v>170.9</v>
      </c>
      <c r="F1362" s="4">
        <v>0</v>
      </c>
      <c r="G1362" s="3">
        <v>0</v>
      </c>
      <c r="H1362" s="5">
        <v>5054.419989</v>
      </c>
      <c r="J1362" s="4">
        <v>0</v>
      </c>
      <c r="K1362" s="7">
        <v>2.0034</v>
      </c>
      <c r="L1362" s="3">
        <v>247.06</v>
      </c>
      <c r="M1362" s="3">
        <v>60.85</v>
      </c>
    </row>
    <row r="1363" spans="1:13">
      <c r="A1363" s="8" t="s">
        <v>1374</v>
      </c>
      <c r="B1363" s="2">
        <f>HYPERLINK("https://www.suredividend.com/sure-analysis-PINE/","Alpine Income Property Trust, Inc.")</f>
        <v>0</v>
      </c>
      <c r="C1363" s="1" t="s">
        <v>1961</v>
      </c>
      <c r="D1363" s="3">
        <v>18</v>
      </c>
      <c r="E1363" s="4">
        <v>0.06333333333333332</v>
      </c>
      <c r="F1363" s="4">
        <v>0.0641</v>
      </c>
      <c r="G1363" s="3">
        <v>1.14</v>
      </c>
      <c r="H1363" s="5">
        <v>251.989337</v>
      </c>
      <c r="K1363" s="7">
        <v>0.4029</v>
      </c>
      <c r="L1363" s="3">
        <v>17.8</v>
      </c>
      <c r="M1363" s="3">
        <v>12.89</v>
      </c>
    </row>
    <row r="1364" spans="1:13">
      <c r="A1364" s="8" t="s">
        <v>1375</v>
      </c>
      <c r="B1364" s="2">
        <f>HYPERLINK("https://www.suredividend.com/sure-analysis-research-database/","PIPER SANDLER COMPANIES")</f>
        <v>0</v>
      </c>
      <c r="C1364" s="1" t="s">
        <v>1962</v>
      </c>
      <c r="D1364" s="3">
        <v>373.33</v>
      </c>
      <c r="E1364" s="4">
        <v>0.02</v>
      </c>
      <c r="F1364" s="4">
        <v>0.008920000000000001</v>
      </c>
      <c r="G1364" s="3">
        <v>5.7</v>
      </c>
      <c r="H1364" s="5">
        <v>6603.52656</v>
      </c>
      <c r="I1364" s="6">
        <v>27.9311</v>
      </c>
      <c r="J1364" s="4">
        <v>0.549825</v>
      </c>
      <c r="K1364" s="7">
        <v>1.4155</v>
      </c>
      <c r="L1364" s="3">
        <v>379.54</v>
      </c>
      <c r="M1364" s="3">
        <v>201.54</v>
      </c>
    </row>
    <row r="1365" spans="1:13">
      <c r="A1365" s="8" t="s">
        <v>1376</v>
      </c>
      <c r="B1365" s="2">
        <f>HYPERLINK("https://www.suredividend.com/sure-analysis-research-database/","PJT Partners Inc.")</f>
        <v>0</v>
      </c>
      <c r="C1365" s="1" t="s">
        <v>1962</v>
      </c>
      <c r="D1365" s="3">
        <v>192.73</v>
      </c>
      <c r="E1365" s="4">
        <v>0.01</v>
      </c>
      <c r="F1365" s="4">
        <v>0.007939999999999999</v>
      </c>
      <c r="G1365" s="3">
        <v>1</v>
      </c>
      <c r="H1365" s="5">
        <v>4648.28517</v>
      </c>
      <c r="I1365" s="6">
        <v>26.1053</v>
      </c>
      <c r="J1365" s="4">
        <v>0.004208</v>
      </c>
      <c r="K1365" s="7">
        <v>1.1091</v>
      </c>
      <c r="L1365" s="3">
        <v>192.09</v>
      </c>
      <c r="M1365" s="3">
        <v>119.21</v>
      </c>
    </row>
    <row r="1366" spans="1:13">
      <c r="A1366" s="8" t="s">
        <v>1377</v>
      </c>
      <c r="B1366" s="2">
        <f>HYPERLINK("https://www.suredividend.com/sure-analysis-research-database/","PARKE BANCORP, INC.")</f>
        <v>0</v>
      </c>
      <c r="C1366" s="1" t="s">
        <v>1962</v>
      </c>
      <c r="D1366" s="3">
        <v>26.31</v>
      </c>
      <c r="E1366" s="4">
        <v>0.03</v>
      </c>
      <c r="F1366" s="4">
        <v>0.02935</v>
      </c>
      <c r="G1366" s="3">
        <v>0.72</v>
      </c>
      <c r="H1366" s="5">
        <v>305.658777</v>
      </c>
      <c r="I1366" s="6">
        <v>8.971500000000001</v>
      </c>
      <c r="J1366" s="4">
        <v>0.250814</v>
      </c>
      <c r="K1366" s="7">
        <v>0.7477</v>
      </c>
      <c r="L1366" s="3">
        <v>26.76</v>
      </c>
      <c r="M1366" s="3">
        <v>16.53</v>
      </c>
    </row>
    <row r="1367" spans="1:13">
      <c r="A1367" s="8" t="s">
        <v>1378</v>
      </c>
      <c r="B1367" s="2">
        <f>HYPERLINK("https://www.suredividend.com/sure-analysis-research-database/","PARK AEROSPACE CORP")</f>
        <v>0</v>
      </c>
      <c r="C1367" s="1" t="s">
        <v>1964</v>
      </c>
      <c r="D1367" s="3">
        <v>25.86</v>
      </c>
      <c r="E1367" s="4">
        <v>0.02</v>
      </c>
      <c r="F1367" s="4">
        <v>0.02909</v>
      </c>
      <c r="G1367" s="3">
        <v>0.5</v>
      </c>
      <c r="H1367" s="5">
        <v>515.081878</v>
      </c>
      <c r="I1367" s="6">
        <v>73.9104</v>
      </c>
      <c r="J1367" s="4">
        <v>1.438513</v>
      </c>
      <c r="K1367" s="7">
        <v>0.7848000000000001</v>
      </c>
      <c r="L1367" s="3">
        <v>26.12</v>
      </c>
      <c r="M1367" s="3">
        <v>11.72</v>
      </c>
    </row>
    <row r="1368" spans="1:13">
      <c r="A1368" s="8" t="s">
        <v>1379</v>
      </c>
      <c r="B1368" s="2">
        <f>HYPERLINK("https://www.suredividend.com/sure-analysis-research-database/","PARK OHIO HOLDINGS CORP")</f>
        <v>0</v>
      </c>
      <c r="C1368" s="1" t="s">
        <v>1964</v>
      </c>
      <c r="D1368" s="3">
        <v>23.49</v>
      </c>
      <c r="E1368" s="4">
        <v>0.02</v>
      </c>
      <c r="F1368" s="4">
        <v>0.02369</v>
      </c>
      <c r="G1368" s="3">
        <v>0.5</v>
      </c>
      <c r="H1368" s="5">
        <v>338.642907</v>
      </c>
      <c r="I1368" s="6">
        <v>14.534</v>
      </c>
      <c r="J1368" s="4">
        <v>0.375</v>
      </c>
      <c r="K1368" s="7">
        <v>1.2504</v>
      </c>
      <c r="L1368" s="3">
        <v>25.79</v>
      </c>
      <c r="M1368" s="3">
        <v>15.42</v>
      </c>
    </row>
    <row r="1369" spans="1:13">
      <c r="A1369" s="8" t="s">
        <v>1380</v>
      </c>
      <c r="B1369" s="2">
        <f>HYPERLINK("https://www.suredividend.com/sure-analysis-research-database/","Peakstone Realty Trust")</f>
        <v>0</v>
      </c>
      <c r="C1369" s="1" t="s">
        <v>1959</v>
      </c>
      <c r="D1369" s="3">
        <v>13.95</v>
      </c>
      <c r="F1369" s="4">
        <v>0.03348</v>
      </c>
      <c r="G1369" s="3">
        <v>0.65</v>
      </c>
      <c r="K1369" s="7">
        <v>2.5962</v>
      </c>
      <c r="L1369" s="3">
        <v>15.3</v>
      </c>
      <c r="M1369" s="3">
        <v>9.85</v>
      </c>
    </row>
    <row r="1370" spans="1:13">
      <c r="A1370" s="8" t="s">
        <v>1381</v>
      </c>
      <c r="B1370" s="2">
        <f>HYPERLINK("https://www.suredividend.com/sure-analysis-research-database/","Planet Labs PBC")</f>
        <v>0</v>
      </c>
      <c r="C1370" s="1" t="s">
        <v>1959</v>
      </c>
      <c r="D1370" s="3">
        <v>26.9</v>
      </c>
      <c r="F1370" s="4">
        <v>0</v>
      </c>
      <c r="G1370" s="3">
        <v>0</v>
      </c>
      <c r="H1370" s="5">
        <v>8274.475340000001</v>
      </c>
      <c r="J1370" s="4">
        <v>0</v>
      </c>
      <c r="K1370" s="7">
        <v>2.1626</v>
      </c>
      <c r="L1370" s="3">
        <v>30.9</v>
      </c>
      <c r="M1370" s="3">
        <v>2.79</v>
      </c>
    </row>
    <row r="1371" spans="1:13">
      <c r="A1371" s="8" t="s">
        <v>1382</v>
      </c>
      <c r="B1371" s="2">
        <f>HYPERLINK("https://www.suredividend.com/sure-analysis-research-database/","PHOTRONICS INC")</f>
        <v>0</v>
      </c>
      <c r="C1371" s="1" t="s">
        <v>1960</v>
      </c>
      <c r="D1371" s="3">
        <v>37.86</v>
      </c>
      <c r="F1371" s="4">
        <v>0</v>
      </c>
      <c r="G1371" s="3">
        <v>0</v>
      </c>
      <c r="J1371" s="4">
        <v>0</v>
      </c>
      <c r="K1371" s="7">
        <v>1.6005</v>
      </c>
      <c r="L1371" s="3">
        <v>39.8</v>
      </c>
      <c r="M1371" s="3">
        <v>16.46</v>
      </c>
    </row>
    <row r="1372" spans="1:13">
      <c r="A1372" s="8" t="s">
        <v>1383</v>
      </c>
      <c r="B1372" s="2">
        <f>HYPERLINK("https://www.suredividend.com/sure-analysis-research-database/","Dave &amp; Buster's Entertainment, Inc.")</f>
        <v>0</v>
      </c>
      <c r="C1372" s="1" t="s">
        <v>1963</v>
      </c>
      <c r="D1372" s="3">
        <v>21.13</v>
      </c>
      <c r="F1372" s="4">
        <v>0</v>
      </c>
      <c r="G1372" s="3">
        <v>0.62</v>
      </c>
      <c r="H1372" s="5">
        <v>734.18121</v>
      </c>
      <c r="I1372" s="6">
        <v>2447.2707</v>
      </c>
      <c r="J1372" s="4">
        <v>0</v>
      </c>
      <c r="K1372" s="7">
        <v>1.0064</v>
      </c>
      <c r="L1372" s="3">
        <v>35.53</v>
      </c>
      <c r="M1372" s="3">
        <v>13.04</v>
      </c>
    </row>
    <row r="1373" spans="1:13">
      <c r="A1373" s="8" t="s">
        <v>1384</v>
      </c>
      <c r="B1373" s="2">
        <f>HYPERLINK("https://www.suredividend.com/sure-analysis-PLBC/","PLUMAS BANCORP")</f>
        <v>0</v>
      </c>
      <c r="C1373" s="1" t="s">
        <v>1962</v>
      </c>
      <c r="D1373" s="3">
        <v>49.28</v>
      </c>
      <c r="E1373" s="4">
        <v>0.02435064935064935</v>
      </c>
      <c r="F1373" s="4">
        <v>0.02025</v>
      </c>
      <c r="G1373" s="3">
        <v>1.2</v>
      </c>
      <c r="H1373" s="5">
        <v>344.993494</v>
      </c>
      <c r="I1373" s="6">
        <v>13.0699</v>
      </c>
      <c r="J1373" s="4">
        <v>0.273754</v>
      </c>
      <c r="K1373" s="7">
        <v>0.4347</v>
      </c>
      <c r="L1373" s="3">
        <v>50.04</v>
      </c>
      <c r="M1373" s="3">
        <v>37.89</v>
      </c>
    </row>
    <row r="1374" spans="1:13">
      <c r="A1374" s="8" t="s">
        <v>1385</v>
      </c>
      <c r="B1374" s="2">
        <f>HYPERLINK("https://www.suredividend.com/sure-analysis-research-database/","PRUDENTIAL FINANCIAL INC")</f>
        <v>0</v>
      </c>
      <c r="C1374" s="1" t="s">
        <v>1970</v>
      </c>
      <c r="D1374" s="3">
        <v>7.33</v>
      </c>
      <c r="F1374" s="4">
        <v>0</v>
      </c>
      <c r="G1374" s="3">
        <v>0</v>
      </c>
      <c r="H1374" s="5">
        <v>159.109</v>
      </c>
      <c r="J1374" s="4">
        <v>0</v>
      </c>
      <c r="K1374" s="7">
        <v>1.7454</v>
      </c>
    </row>
    <row r="1375" spans="1:13">
      <c r="A1375" s="8" t="s">
        <v>1386</v>
      </c>
      <c r="B1375" s="2">
        <f>HYPERLINK("https://www.suredividend.com/sure-analysis-research-database/","Palomar Holdings, Inc.")</f>
        <v>0</v>
      </c>
      <c r="C1375" s="1" t="s">
        <v>1962</v>
      </c>
      <c r="D1375" s="3">
        <v>130.25</v>
      </c>
      <c r="F1375" s="4">
        <v>0</v>
      </c>
      <c r="G1375" s="3">
        <v>0</v>
      </c>
      <c r="H1375" s="5">
        <v>3445.21996</v>
      </c>
      <c r="I1375" s="6">
        <v>19.5896</v>
      </c>
      <c r="J1375" s="4">
        <v>0</v>
      </c>
      <c r="K1375" s="7">
        <v>0.4869</v>
      </c>
      <c r="L1375" s="3">
        <v>175.85</v>
      </c>
      <c r="M1375" s="3">
        <v>101.64</v>
      </c>
    </row>
    <row r="1376" spans="1:13">
      <c r="A1376" s="8" t="s">
        <v>1387</v>
      </c>
      <c r="B1376" s="2">
        <f>HYPERLINK("https://www.suredividend.com/sure-analysis-research-database/","DOUGLAS DYNAMICS, INC")</f>
        <v>0</v>
      </c>
      <c r="C1376" s="1" t="s">
        <v>1963</v>
      </c>
      <c r="D1376" s="3">
        <v>36.93</v>
      </c>
      <c r="E1376" s="4">
        <v>0.03</v>
      </c>
      <c r="F1376" s="4">
        <v>0.03328</v>
      </c>
      <c r="G1376" s="3">
        <v>1.18</v>
      </c>
      <c r="H1376" s="5">
        <v>851.360442</v>
      </c>
      <c r="I1376" s="6">
        <v>20.3919</v>
      </c>
      <c r="J1376" s="4">
        <v>0.664705</v>
      </c>
      <c r="K1376" s="7">
        <v>0.8014</v>
      </c>
      <c r="L1376" s="3">
        <v>37.1</v>
      </c>
      <c r="M1376" s="3">
        <v>20.71</v>
      </c>
    </row>
    <row r="1377" spans="1:13">
      <c r="A1377" s="8" t="s">
        <v>1388</v>
      </c>
      <c r="B1377" s="2">
        <f>HYPERLINK("https://www.suredividend.com/sure-analysis-research-database/","PREFORMED LINE PRODUCTS CO")</f>
        <v>0</v>
      </c>
      <c r="C1377" s="1" t="s">
        <v>1964</v>
      </c>
      <c r="D1377" s="3">
        <v>245.35</v>
      </c>
      <c r="F1377" s="4">
        <v>0.00327</v>
      </c>
      <c r="G1377" s="3">
        <v>0.8100000000000001</v>
      </c>
      <c r="H1377" s="5">
        <v>1199.340778</v>
      </c>
      <c r="I1377" s="6">
        <v>32.1539</v>
      </c>
      <c r="J1377" s="4">
        <v>0.110298</v>
      </c>
      <c r="K1377" s="7">
        <v>0.6842</v>
      </c>
      <c r="L1377" s="3">
        <v>250.03</v>
      </c>
      <c r="M1377" s="3">
        <v>118.43</v>
      </c>
    </row>
    <row r="1378" spans="1:13">
      <c r="A1378" s="8" t="s">
        <v>1389</v>
      </c>
      <c r="B1378" s="2">
        <f>HYPERLINK("https://www.suredividend.com/sure-analysis-research-database/","PLIANT THERAPEUTICS, INC.")</f>
        <v>0</v>
      </c>
      <c r="C1378" s="1" t="s">
        <v>1959</v>
      </c>
      <c r="D1378" s="3">
        <v>1.265</v>
      </c>
      <c r="F1378" s="4">
        <v>0</v>
      </c>
      <c r="G1378" s="3">
        <v>0</v>
      </c>
      <c r="H1378" s="5">
        <v>77.426225</v>
      </c>
      <c r="J1378" s="4">
        <v>0</v>
      </c>
      <c r="K1378" s="7">
        <v>1.5038</v>
      </c>
      <c r="L1378" s="3">
        <v>12.88</v>
      </c>
      <c r="M1378" s="3">
        <v>1.1</v>
      </c>
    </row>
    <row r="1379" spans="1:13">
      <c r="A1379" s="8" t="s">
        <v>1390</v>
      </c>
      <c r="B1379" s="2">
        <f>HYPERLINK("https://www.suredividend.com/sure-analysis-research-database/","PULSE BIOSCIENCES, INC.")</f>
        <v>0</v>
      </c>
      <c r="C1379" s="1" t="s">
        <v>1965</v>
      </c>
      <c r="D1379" s="3">
        <v>14.31</v>
      </c>
      <c r="F1379" s="4">
        <v>0</v>
      </c>
      <c r="G1379" s="3">
        <v>0</v>
      </c>
      <c r="H1379" s="5">
        <v>973.14242</v>
      </c>
      <c r="J1379" s="4">
        <v>0</v>
      </c>
      <c r="K1379" s="7">
        <v>1.5067</v>
      </c>
      <c r="L1379" s="3">
        <v>25</v>
      </c>
      <c r="M1379" s="3">
        <v>12.56</v>
      </c>
    </row>
    <row r="1380" spans="1:13">
      <c r="A1380" s="8" t="s">
        <v>1391</v>
      </c>
      <c r="B1380" s="2">
        <f>HYPERLINK("https://www.suredividend.com/sure-analysis-research-database/","PLUG POWER INC")</f>
        <v>0</v>
      </c>
      <c r="C1380" s="1" t="s">
        <v>1964</v>
      </c>
      <c r="D1380" s="3">
        <v>2.26</v>
      </c>
      <c r="F1380" s="4">
        <v>0</v>
      </c>
      <c r="G1380" s="3">
        <v>0</v>
      </c>
      <c r="H1380" s="5">
        <v>3088.968477</v>
      </c>
      <c r="J1380" s="4">
        <v>0</v>
      </c>
      <c r="K1380" s="7">
        <v>1.7383</v>
      </c>
      <c r="L1380" s="3">
        <v>4.58</v>
      </c>
      <c r="M1380" s="3">
        <v>0.6899999999999999</v>
      </c>
    </row>
    <row r="1381" spans="1:13">
      <c r="A1381" s="8" t="s">
        <v>1392</v>
      </c>
      <c r="B1381" s="2">
        <f>HYPERLINK("https://www.suredividend.com/sure-analysis-research-database/","EPLUS INC")</f>
        <v>0</v>
      </c>
      <c r="C1381" s="1" t="s">
        <v>1960</v>
      </c>
      <c r="D1381" s="3">
        <v>88.86</v>
      </c>
      <c r="E1381" s="4">
        <v>0.01</v>
      </c>
      <c r="F1381" s="4">
        <v>0.00114</v>
      </c>
      <c r="G1381" s="3">
        <v>0.5</v>
      </c>
      <c r="J1381" s="4">
        <v>0</v>
      </c>
      <c r="K1381" s="7">
        <v>1.0045</v>
      </c>
      <c r="L1381" s="3">
        <v>93.98</v>
      </c>
      <c r="M1381" s="3">
        <v>53.5</v>
      </c>
    </row>
    <row r="1382" spans="1:13">
      <c r="A1382" s="8" t="s">
        <v>1393</v>
      </c>
      <c r="B1382" s="2">
        <f>HYPERLINK("https://www.suredividend.com/sure-analysis-research-database/","PLEXUS CORP")</f>
        <v>0</v>
      </c>
      <c r="C1382" s="1" t="s">
        <v>1960</v>
      </c>
      <c r="D1382" s="3">
        <v>184</v>
      </c>
      <c r="F1382" s="4">
        <v>0</v>
      </c>
      <c r="G1382" s="3">
        <v>0</v>
      </c>
      <c r="H1382" s="5">
        <v>5010.9232</v>
      </c>
      <c r="I1382" s="6">
        <v>27.8258</v>
      </c>
      <c r="J1382" s="4">
        <v>0</v>
      </c>
      <c r="K1382" s="7">
        <v>0.8712</v>
      </c>
      <c r="L1382" s="3">
        <v>186.47</v>
      </c>
      <c r="M1382" s="3">
        <v>103.43</v>
      </c>
    </row>
    <row r="1383" spans="1:13">
      <c r="A1383" s="8" t="s">
        <v>1394</v>
      </c>
      <c r="B1383" s="2">
        <f>HYPERLINK("https://www.suredividend.com/sure-analysis-PLYM/","Plymouth Industrial REIT, Inc.")</f>
        <v>0</v>
      </c>
      <c r="C1383" s="1" t="s">
        <v>1961</v>
      </c>
      <c r="D1383" s="3">
        <v>21.965</v>
      </c>
      <c r="E1383" s="4">
        <v>0.04370589574322786</v>
      </c>
      <c r="F1383" s="4">
        <v>0.03912</v>
      </c>
      <c r="G1383" s="3">
        <v>0.96</v>
      </c>
      <c r="H1383" s="5">
        <v>977.89805</v>
      </c>
      <c r="I1383" s="6">
        <v>10.7096</v>
      </c>
      <c r="J1383" s="4">
        <v>0.462972</v>
      </c>
      <c r="K1383" s="7">
        <v>0.8786</v>
      </c>
      <c r="L1383" s="3">
        <v>22.74</v>
      </c>
      <c r="M1383" s="3">
        <v>12.38</v>
      </c>
    </row>
    <row r="1384" spans="1:13">
      <c r="A1384" s="8" t="s">
        <v>1395</v>
      </c>
      <c r="B1384" s="2">
        <f>HYPERLINK("https://www.suredividend.com/sure-analysis-research-database/","PennyMac Mortgage Investment Trust")</f>
        <v>0</v>
      </c>
      <c r="C1384" s="1" t="s">
        <v>1961</v>
      </c>
      <c r="D1384" s="3">
        <v>13.3</v>
      </c>
      <c r="E1384" s="4">
        <v>0.12</v>
      </c>
      <c r="F1384" s="4">
        <v>0.13487</v>
      </c>
      <c r="G1384" s="3">
        <v>1.6</v>
      </c>
      <c r="H1384" s="5">
        <v>1157.320833</v>
      </c>
      <c r="I1384" s="6">
        <v>14.4259</v>
      </c>
      <c r="J1384" s="4">
        <v>1.484641</v>
      </c>
      <c r="K1384" s="7">
        <v>0.6822</v>
      </c>
      <c r="L1384" s="3">
        <v>13.81</v>
      </c>
      <c r="M1384" s="3">
        <v>10.68</v>
      </c>
    </row>
    <row r="1385" spans="1:13">
      <c r="A1385" s="8" t="s">
        <v>1396</v>
      </c>
      <c r="B1385" s="2">
        <f>HYPERLINK("https://www.suredividend.com/sure-analysis-research-database/","CPI Card Group Inc.")</f>
        <v>0</v>
      </c>
      <c r="C1385" s="1" t="s">
        <v>1964</v>
      </c>
      <c r="D1385" s="3">
        <v>13.66</v>
      </c>
      <c r="F1385" s="4">
        <v>0</v>
      </c>
      <c r="G1385" s="3">
        <v>0.9</v>
      </c>
      <c r="H1385" s="5">
        <v>161.1501</v>
      </c>
      <c r="I1385" s="6">
        <v>11.2128</v>
      </c>
      <c r="J1385" s="4">
        <v>0</v>
      </c>
      <c r="K1385" s="7">
        <v>1.2076</v>
      </c>
      <c r="L1385" s="3">
        <v>34.25</v>
      </c>
      <c r="M1385" s="3">
        <v>11.64</v>
      </c>
    </row>
    <row r="1386" spans="1:13">
      <c r="A1386" s="8" t="s">
        <v>1397</v>
      </c>
      <c r="B1386" s="2">
        <f>HYPERLINK("https://www.suredividend.com/sure-analysis-research-database/","PRIMEENERGY RESOURCES CORP")</f>
        <v>0</v>
      </c>
      <c r="C1386" s="1" t="s">
        <v>1969</v>
      </c>
      <c r="D1386" s="3">
        <v>178.1</v>
      </c>
      <c r="F1386" s="4">
        <v>0</v>
      </c>
      <c r="G1386" s="3">
        <v>0</v>
      </c>
      <c r="H1386" s="5">
        <v>289.6566</v>
      </c>
      <c r="I1386" s="6">
        <v>11.4934</v>
      </c>
      <c r="J1386" s="4">
        <v>0</v>
      </c>
      <c r="K1386" s="7">
        <v>1.003</v>
      </c>
      <c r="L1386" s="3">
        <v>239.87</v>
      </c>
      <c r="M1386" s="3">
        <v>126.4</v>
      </c>
    </row>
    <row r="1387" spans="1:13">
      <c r="A1387" s="8" t="s">
        <v>1398</v>
      </c>
      <c r="B1387" s="2">
        <f>HYPERLINK("https://www.suredividend.com/sure-analysis-research-database/","Pennant Group, Inc.")</f>
        <v>0</v>
      </c>
      <c r="C1387" s="1" t="s">
        <v>1965</v>
      </c>
      <c r="D1387" s="3">
        <v>30.015</v>
      </c>
      <c r="F1387" s="4">
        <v>0</v>
      </c>
      <c r="G1387" s="3">
        <v>0</v>
      </c>
      <c r="H1387" s="5">
        <v>1037.8116</v>
      </c>
      <c r="I1387" s="6">
        <v>38.8708</v>
      </c>
      <c r="J1387" s="4">
        <v>0</v>
      </c>
      <c r="K1387" s="7">
        <v>0.919</v>
      </c>
      <c r="L1387" s="3">
        <v>30.46</v>
      </c>
      <c r="M1387" s="3">
        <v>21.18</v>
      </c>
    </row>
    <row r="1388" spans="1:13">
      <c r="A1388" s="8" t="s">
        <v>1399</v>
      </c>
      <c r="B1388" s="2">
        <f>HYPERLINK("https://www.suredividend.com/sure-analysis-POR/","PORTLAND GENERAL ELECTRIC CO /OR/")</f>
        <v>0</v>
      </c>
      <c r="C1388" s="1" t="s">
        <v>1967</v>
      </c>
      <c r="D1388" s="3">
        <v>50.23</v>
      </c>
      <c r="E1388" s="4">
        <v>0.04180768465060721</v>
      </c>
      <c r="F1388" s="4">
        <v>0.03864</v>
      </c>
      <c r="G1388" s="3">
        <v>2.07</v>
      </c>
      <c r="H1388" s="5">
        <v>5653.694728</v>
      </c>
      <c r="I1388" s="6">
        <v>18.6591</v>
      </c>
      <c r="J1388" s="4">
        <v>0.722772</v>
      </c>
      <c r="K1388" s="7">
        <v>0.2898</v>
      </c>
      <c r="L1388" s="3">
        <v>50.58</v>
      </c>
      <c r="M1388" s="3">
        <v>38.29</v>
      </c>
    </row>
    <row r="1389" spans="1:13">
      <c r="A1389" s="8" t="s">
        <v>1400</v>
      </c>
      <c r="B1389" s="2">
        <f>HYPERLINK("https://www.suredividend.com/sure-analysis-POWI/","POWER INTEGRATIONS INC")</f>
        <v>0</v>
      </c>
      <c r="C1389" s="1" t="s">
        <v>1960</v>
      </c>
      <c r="D1389" s="3">
        <v>45.41</v>
      </c>
      <c r="E1389" s="4">
        <v>0.01849812816560229</v>
      </c>
      <c r="F1389" s="4">
        <v>0.01855</v>
      </c>
      <c r="G1389" s="3">
        <v>0.84</v>
      </c>
      <c r="H1389" s="5">
        <v>2526.095795</v>
      </c>
      <c r="I1389" s="6">
        <v>140.7845</v>
      </c>
      <c r="J1389" s="4">
        <v>2.646715</v>
      </c>
      <c r="K1389" s="7">
        <v>1.5722</v>
      </c>
      <c r="L1389" s="3">
        <v>66.95999999999999</v>
      </c>
      <c r="M1389" s="3">
        <v>30.67</v>
      </c>
    </row>
    <row r="1390" spans="1:13">
      <c r="A1390" s="8" t="s">
        <v>1401</v>
      </c>
      <c r="B1390" s="2">
        <f>HYPERLINK("https://www.suredividend.com/sure-analysis-research-database/","POWELL INDUSTRIES INC")</f>
        <v>0</v>
      </c>
      <c r="C1390" s="1" t="s">
        <v>1964</v>
      </c>
      <c r="D1390" s="3">
        <v>426</v>
      </c>
      <c r="F1390" s="4">
        <v>0.00292</v>
      </c>
      <c r="G1390" s="3">
        <v>1.07</v>
      </c>
      <c r="H1390" s="5">
        <v>5101.045214</v>
      </c>
      <c r="I1390" s="6">
        <v>28.222</v>
      </c>
      <c r="J1390" s="4">
        <v>0.071199</v>
      </c>
      <c r="K1390" s="7">
        <v>1.7896</v>
      </c>
      <c r="L1390" s="3">
        <v>446.11</v>
      </c>
      <c r="M1390" s="3">
        <v>145.53</v>
      </c>
    </row>
    <row r="1391" spans="1:13">
      <c r="A1391" s="8" t="s">
        <v>1402</v>
      </c>
      <c r="B1391" s="2">
        <f>HYPERLINK("https://www.suredividend.com/sure-analysis-research-database/","AMMO, INC.")</f>
        <v>0</v>
      </c>
      <c r="C1391" s="1" t="s">
        <v>1963</v>
      </c>
      <c r="D1391" s="3">
        <v>1.73</v>
      </c>
      <c r="F1391" s="4">
        <v>0</v>
      </c>
      <c r="G1391" s="3">
        <v>0</v>
      </c>
      <c r="H1391" s="5">
        <v>203.772839</v>
      </c>
      <c r="K1391" s="7">
        <v>1.2732</v>
      </c>
      <c r="L1391" s="3">
        <v>2.14</v>
      </c>
      <c r="M1391" s="3">
        <v>1.08</v>
      </c>
    </row>
    <row r="1392" spans="1:13">
      <c r="A1392" s="8" t="s">
        <v>1403</v>
      </c>
      <c r="B1392" s="2">
        <f>HYPERLINK("https://www.suredividend.com/sure-analysis-research-database/","PACIFIC PREMIER BANCORP INC")</f>
        <v>0</v>
      </c>
      <c r="C1392" s="1" t="s">
        <v>1962</v>
      </c>
      <c r="D1392" s="3">
        <v>24.63</v>
      </c>
      <c r="E1392" s="4">
        <v>0.05</v>
      </c>
      <c r="F1392" s="4">
        <v>0.05096</v>
      </c>
      <c r="G1392" s="3">
        <v>1.32</v>
      </c>
      <c r="H1392" s="5">
        <v>2375.320366</v>
      </c>
      <c r="I1392" s="6">
        <v>17.2182</v>
      </c>
      <c r="J1392" s="4">
        <v>0.924221</v>
      </c>
      <c r="K1392" s="7">
        <v>1.0872</v>
      </c>
    </row>
    <row r="1393" spans="1:13">
      <c r="A1393" s="8" t="s">
        <v>1404</v>
      </c>
      <c r="B1393" s="2">
        <f>HYPERLINK("https://www.suredividend.com/sure-analysis-research-database/","PERPETUA RESOURCES CORP.")</f>
        <v>0</v>
      </c>
      <c r="C1393" s="1" t="s">
        <v>1959</v>
      </c>
      <c r="D1393" s="3">
        <v>31.89</v>
      </c>
      <c r="F1393" s="4">
        <v>0</v>
      </c>
      <c r="G1393" s="3">
        <v>0</v>
      </c>
      <c r="H1393" s="5">
        <v>3836.552029</v>
      </c>
      <c r="J1393" s="4">
        <v>0</v>
      </c>
      <c r="K1393" s="7">
        <v>0.5795</v>
      </c>
      <c r="L1393" s="3">
        <v>34.19</v>
      </c>
      <c r="M1393" s="3">
        <v>7.81</v>
      </c>
    </row>
    <row r="1394" spans="1:13">
      <c r="A1394" s="8" t="s">
        <v>1405</v>
      </c>
      <c r="B1394" s="2">
        <f>HYPERLINK("https://www.suredividend.com/sure-analysis-research-database/","PROASSURANCE CORP")</f>
        <v>0</v>
      </c>
      <c r="C1394" s="1" t="s">
        <v>1962</v>
      </c>
      <c r="D1394" s="3">
        <v>24.18</v>
      </c>
      <c r="F1394" s="4">
        <v>0.00375</v>
      </c>
      <c r="G1394" s="3">
        <v>0.2</v>
      </c>
      <c r="H1394" s="5">
        <v>1244.210161</v>
      </c>
      <c r="I1394" s="6">
        <v>37.1074</v>
      </c>
      <c r="J1394" s="4">
        <v>0</v>
      </c>
      <c r="K1394" s="7">
        <v>0.3492</v>
      </c>
      <c r="L1394" s="3">
        <v>24.41</v>
      </c>
      <c r="M1394" s="3">
        <v>13.9</v>
      </c>
    </row>
    <row r="1395" spans="1:13">
      <c r="A1395" s="8" t="s">
        <v>1406</v>
      </c>
      <c r="B1395" s="2">
        <f>HYPERLINK("https://www.suredividend.com/sure-analysis-research-database/","PRA GROUP INC")</f>
        <v>0</v>
      </c>
      <c r="C1395" s="1" t="s">
        <v>1962</v>
      </c>
      <c r="D1395" s="3">
        <v>16.38</v>
      </c>
      <c r="F1395" s="4">
        <v>0</v>
      </c>
      <c r="G1395" s="3">
        <v>1</v>
      </c>
      <c r="H1395" s="5">
        <v>639.07294</v>
      </c>
      <c r="K1395" s="7">
        <v>1.396</v>
      </c>
      <c r="L1395" s="3">
        <v>23.97</v>
      </c>
      <c r="M1395" s="3">
        <v>12.29</v>
      </c>
    </row>
    <row r="1396" spans="1:13">
      <c r="A1396" s="8" t="s">
        <v>1407</v>
      </c>
      <c r="B1396" s="2">
        <f>HYPERLINK("https://www.suredividend.com/sure-analysis-research-database/","Praxis Precision Medicines, Inc.")</f>
        <v>0</v>
      </c>
      <c r="C1396" s="1" t="s">
        <v>1959</v>
      </c>
      <c r="D1396" s="3">
        <v>312.75</v>
      </c>
      <c r="F1396" s="4">
        <v>0</v>
      </c>
      <c r="G1396" s="3">
        <v>0</v>
      </c>
      <c r="H1396" s="5">
        <v>7817.241655</v>
      </c>
      <c r="J1396" s="4">
        <v>0</v>
      </c>
      <c r="K1396" s="7">
        <v>1.5213</v>
      </c>
      <c r="L1396" s="3">
        <v>326.91</v>
      </c>
      <c r="M1396" s="3">
        <v>26.7</v>
      </c>
    </row>
    <row r="1397" spans="1:13">
      <c r="A1397" s="8" t="s">
        <v>1408</v>
      </c>
      <c r="B1397" s="2">
        <f>HYPERLINK("https://www.suredividend.com/sure-analysis-research-database/","Porch Group, Inc.")</f>
        <v>0</v>
      </c>
      <c r="C1397" s="1" t="s">
        <v>1959</v>
      </c>
      <c r="D1397" s="3">
        <v>8.050000000000001</v>
      </c>
      <c r="F1397" s="4">
        <v>0</v>
      </c>
      <c r="G1397" s="3">
        <v>0</v>
      </c>
      <c r="H1397" s="5">
        <v>995.652666</v>
      </c>
      <c r="I1397" s="6">
        <v>32.5472</v>
      </c>
      <c r="J1397" s="4">
        <v>0</v>
      </c>
      <c r="K1397" s="7">
        <v>2.8902</v>
      </c>
      <c r="L1397" s="3">
        <v>19.44</v>
      </c>
      <c r="M1397" s="3">
        <v>3.72</v>
      </c>
    </row>
    <row r="1398" spans="1:13">
      <c r="A1398" s="8" t="s">
        <v>1409</v>
      </c>
      <c r="B1398" s="2">
        <f>HYPERLINK("https://www.suredividend.com/sure-analysis-research-database/","PROCEPT BioRobotics Corp")</f>
        <v>0</v>
      </c>
      <c r="C1398" s="1" t="s">
        <v>1959</v>
      </c>
      <c r="D1398" s="3">
        <v>31.13</v>
      </c>
      <c r="F1398" s="4">
        <v>0</v>
      </c>
      <c r="G1398" s="3">
        <v>0</v>
      </c>
      <c r="H1398" s="5">
        <v>1729.44233</v>
      </c>
      <c r="J1398" s="4">
        <v>0</v>
      </c>
      <c r="K1398" s="7">
        <v>1.2441</v>
      </c>
      <c r="L1398" s="3">
        <v>76.95</v>
      </c>
      <c r="M1398" s="3">
        <v>27.8</v>
      </c>
    </row>
    <row r="1399" spans="1:13">
      <c r="A1399" s="8" t="s">
        <v>1410</v>
      </c>
      <c r="B1399" s="2">
        <f>HYPERLINK("https://www.suredividend.com/sure-analysis-research-database/","PERDOCEO EDUCATION Corp")</f>
        <v>0</v>
      </c>
      <c r="C1399" s="1" t="s">
        <v>1966</v>
      </c>
      <c r="D1399" s="3">
        <v>32.41</v>
      </c>
      <c r="E1399" s="4">
        <v>0.02</v>
      </c>
      <c r="F1399" s="4">
        <v>0.007979999999999999</v>
      </c>
      <c r="G1399" s="3">
        <v>0.5600000000000001</v>
      </c>
      <c r="H1399" s="5">
        <v>2084.048222</v>
      </c>
      <c r="I1399" s="6">
        <v>13.3567</v>
      </c>
      <c r="J1399" s="4">
        <v>0.230251</v>
      </c>
      <c r="K1399" s="7">
        <v>0.5381</v>
      </c>
      <c r="L1399" s="3">
        <v>37.82</v>
      </c>
      <c r="M1399" s="3">
        <v>23.54</v>
      </c>
    </row>
    <row r="1400" spans="1:13">
      <c r="A1400" s="8" t="s">
        <v>1411</v>
      </c>
      <c r="B1400" s="2">
        <f>HYPERLINK("https://www.suredividend.com/sure-analysis-research-database/","PROG Holdings, Inc.")</f>
        <v>0</v>
      </c>
      <c r="C1400" s="1" t="s">
        <v>1959</v>
      </c>
      <c r="D1400" s="3">
        <v>32.74</v>
      </c>
      <c r="E1400" s="4">
        <v>0.02</v>
      </c>
      <c r="F1400" s="4">
        <v>0.00658</v>
      </c>
      <c r="G1400" s="3">
        <v>0.52</v>
      </c>
      <c r="H1400" s="5">
        <v>1295.118171</v>
      </c>
      <c r="I1400" s="6">
        <v>7.9034</v>
      </c>
      <c r="J1400" s="4">
        <v>0.12568</v>
      </c>
      <c r="K1400" s="7">
        <v>1.2142</v>
      </c>
      <c r="L1400" s="3">
        <v>43.63</v>
      </c>
      <c r="M1400" s="3">
        <v>23.19</v>
      </c>
    </row>
    <row r="1401" spans="1:13">
      <c r="A1401" s="8" t="s">
        <v>1412</v>
      </c>
      <c r="B1401" s="2">
        <f>HYPERLINK("https://www.suredividend.com/sure-analysis-research-database/","PROGRESS SOFTWARE CORP /MA")</f>
        <v>0</v>
      </c>
      <c r="C1401" s="1" t="s">
        <v>1960</v>
      </c>
      <c r="D1401" s="3">
        <v>42.9</v>
      </c>
      <c r="F1401" s="4">
        <v>0.01264</v>
      </c>
      <c r="G1401" s="3">
        <v>0.7</v>
      </c>
      <c r="H1401" s="5">
        <v>1798.25277</v>
      </c>
      <c r="I1401" s="6">
        <v>24.5888</v>
      </c>
      <c r="J1401" s="4">
        <v>0.010748</v>
      </c>
      <c r="K1401" s="7">
        <v>0.413</v>
      </c>
      <c r="L1401" s="3">
        <v>65.5</v>
      </c>
      <c r="M1401" s="3">
        <v>38.54</v>
      </c>
    </row>
    <row r="1402" spans="1:13">
      <c r="A1402" s="8" t="s">
        <v>1413</v>
      </c>
      <c r="B1402" s="2">
        <f>HYPERLINK("https://www.suredividend.com/sure-analysis-research-database/","Primoris Services Corp")</f>
        <v>0</v>
      </c>
      <c r="C1402" s="1" t="s">
        <v>1964</v>
      </c>
      <c r="D1402" s="3">
        <v>152.79</v>
      </c>
      <c r="F1402" s="4">
        <v>0.00202</v>
      </c>
      <c r="G1402" s="3">
        <v>0.32</v>
      </c>
      <c r="H1402" s="5">
        <v>8196.167323</v>
      </c>
      <c r="I1402" s="6">
        <v>29.5739</v>
      </c>
      <c r="J1402" s="4">
        <v>0.058342</v>
      </c>
      <c r="K1402" s="7">
        <v>1.6041</v>
      </c>
      <c r="L1402" s="3">
        <v>155.19</v>
      </c>
      <c r="M1402" s="3">
        <v>48.99</v>
      </c>
    </row>
    <row r="1403" spans="1:13">
      <c r="A1403" s="8" t="s">
        <v>1414</v>
      </c>
      <c r="B1403" s="2">
        <f>HYPERLINK("https://www.suredividend.com/sure-analysis-PRK/","PARK NATIONAL CORP /OH/")</f>
        <v>0</v>
      </c>
      <c r="C1403" s="1" t="s">
        <v>1962</v>
      </c>
      <c r="D1403" s="3">
        <v>168.17</v>
      </c>
      <c r="E1403" s="4">
        <v>0.02545043705773919</v>
      </c>
      <c r="F1403" s="4">
        <v>0.02918</v>
      </c>
      <c r="G1403" s="3">
        <v>5.53</v>
      </c>
      <c r="H1403" s="5">
        <v>2705.006799</v>
      </c>
      <c r="I1403" s="6">
        <v>15.3638</v>
      </c>
      <c r="J1403" s="4">
        <v>0.442015</v>
      </c>
      <c r="K1403" s="7">
        <v>0.7433</v>
      </c>
      <c r="L1403" s="3">
        <v>175.64</v>
      </c>
      <c r="M1403" s="3">
        <v>134.17</v>
      </c>
    </row>
    <row r="1404" spans="1:13">
      <c r="A1404" s="8" t="s">
        <v>1415</v>
      </c>
      <c r="B1404" s="2">
        <f>HYPERLINK("https://www.suredividend.com/sure-analysis-research-database/","United Parks &amp; Resorts Inc.")</f>
        <v>0</v>
      </c>
      <c r="C1404" s="1" t="s">
        <v>1959</v>
      </c>
      <c r="D1404" s="3">
        <v>38.32</v>
      </c>
      <c r="F1404" s="4">
        <v>0</v>
      </c>
      <c r="G1404" s="3">
        <v>0</v>
      </c>
      <c r="H1404" s="5">
        <v>2091.470426</v>
      </c>
      <c r="I1404" s="6">
        <v>11.5425</v>
      </c>
      <c r="J1404" s="4">
        <v>0</v>
      </c>
      <c r="K1404" s="7">
        <v>0.9777</v>
      </c>
      <c r="L1404" s="3">
        <v>58.51</v>
      </c>
      <c r="M1404" s="3">
        <v>29.62</v>
      </c>
    </row>
    <row r="1405" spans="1:13">
      <c r="A1405" s="8" t="s">
        <v>1416</v>
      </c>
      <c r="B1405" s="2">
        <f>HYPERLINK("https://www.suredividend.com/sure-analysis-research-database/","Proto Labs Inc")</f>
        <v>0</v>
      </c>
      <c r="C1405" s="1" t="s">
        <v>1964</v>
      </c>
      <c r="D1405" s="3">
        <v>55.405</v>
      </c>
      <c r="F1405" s="4">
        <v>0</v>
      </c>
      <c r="G1405" s="3">
        <v>0</v>
      </c>
      <c r="H1405" s="5">
        <v>1312.512835</v>
      </c>
      <c r="I1405" s="6">
        <v>88.4562</v>
      </c>
      <c r="J1405" s="4">
        <v>0</v>
      </c>
      <c r="K1405" s="7">
        <v>1.4486</v>
      </c>
      <c r="L1405" s="3">
        <v>55.9</v>
      </c>
      <c r="M1405" s="3">
        <v>29.59</v>
      </c>
    </row>
    <row r="1406" spans="1:13">
      <c r="A1406" s="8" t="s">
        <v>1417</v>
      </c>
      <c r="B1406" s="2">
        <f>HYPERLINK("https://www.suredividend.com/sure-analysis-research-database/","Prelude Therapeutics Inc")</f>
        <v>0</v>
      </c>
      <c r="C1406" s="1" t="s">
        <v>1959</v>
      </c>
      <c r="D1406" s="3">
        <v>1.82</v>
      </c>
      <c r="F1406" s="4">
        <v>0</v>
      </c>
      <c r="G1406" s="3">
        <v>0</v>
      </c>
      <c r="H1406" s="5">
        <v>114.414791</v>
      </c>
      <c r="J1406" s="4">
        <v>0</v>
      </c>
      <c r="K1406" s="7">
        <v>1.2545</v>
      </c>
      <c r="L1406" s="3">
        <v>4.22</v>
      </c>
      <c r="M1406" s="3">
        <v>0.61</v>
      </c>
    </row>
    <row r="1407" spans="1:13">
      <c r="A1407" s="8" t="s">
        <v>1418</v>
      </c>
      <c r="B1407" s="2">
        <f>HYPERLINK("https://www.suredividend.com/sure-analysis-research-database/","Perimeter Solutions, Inc.")</f>
        <v>0</v>
      </c>
      <c r="C1407" s="1" t="s">
        <v>1959</v>
      </c>
      <c r="D1407" s="3">
        <v>28.06</v>
      </c>
      <c r="F1407" s="4">
        <v>0</v>
      </c>
      <c r="G1407" s="3">
        <v>0</v>
      </c>
      <c r="H1407" s="5">
        <v>4161.094131</v>
      </c>
      <c r="I1407" s="6">
        <v>53.3234</v>
      </c>
      <c r="J1407" s="4">
        <v>0</v>
      </c>
      <c r="K1407" s="7">
        <v>1.2303</v>
      </c>
      <c r="L1407" s="3">
        <v>29.88</v>
      </c>
      <c r="M1407" s="3">
        <v>8.76</v>
      </c>
    </row>
    <row r="1408" spans="1:13">
      <c r="A1408" s="8" t="s">
        <v>1419</v>
      </c>
      <c r="B1408" s="2">
        <f>HYPERLINK("https://www.suredividend.com/sure-analysis-research-database/","Primo Brands Corporation")</f>
        <v>0</v>
      </c>
      <c r="C1408" s="1" t="s">
        <v>1959</v>
      </c>
      <c r="D1408" s="3">
        <v>19.26</v>
      </c>
      <c r="E1408" s="4">
        <v>0.02</v>
      </c>
      <c r="F1408" s="4">
        <v>0.00572</v>
      </c>
      <c r="G1408" s="3">
        <v>0.4</v>
      </c>
      <c r="H1408" s="5">
        <v>3089.223532</v>
      </c>
      <c r="I1408" s="6">
        <v>12.011</v>
      </c>
      <c r="J1408" s="4">
        <v>0.221229</v>
      </c>
      <c r="K1408" s="7">
        <v>0.3692</v>
      </c>
      <c r="L1408" s="3">
        <v>35.35</v>
      </c>
      <c r="M1408" s="3">
        <v>14.26</v>
      </c>
    </row>
    <row r="1409" spans="1:13">
      <c r="A1409" s="8" t="s">
        <v>1420</v>
      </c>
      <c r="B1409" s="2">
        <f>HYPERLINK("https://www.suredividend.com/sure-analysis-research-database/","Prime Medicine, Inc.")</f>
        <v>0</v>
      </c>
      <c r="C1409" s="1" t="s">
        <v>1959</v>
      </c>
      <c r="D1409" s="3">
        <v>4.04</v>
      </c>
      <c r="F1409" s="4">
        <v>0</v>
      </c>
      <c r="G1409" s="3">
        <v>1.21</v>
      </c>
      <c r="J1409" s="4">
        <v>0</v>
      </c>
      <c r="K1409" s="7">
        <v>3.1307</v>
      </c>
      <c r="L1409" s="3">
        <v>6.94</v>
      </c>
      <c r="M1409" s="3">
        <v>1.11</v>
      </c>
    </row>
    <row r="1410" spans="1:13">
      <c r="A1410" s="8" t="s">
        <v>1421</v>
      </c>
      <c r="B1410" s="2">
        <f>HYPERLINK("https://www.suredividend.com/sure-analysis-research-database/","PROS Holdings, Inc.")</f>
        <v>0</v>
      </c>
      <c r="C1410" s="1" t="s">
        <v>1960</v>
      </c>
      <c r="D1410" s="3">
        <v>23.245</v>
      </c>
      <c r="F1410" s="4">
        <v>0</v>
      </c>
      <c r="G1410" s="3">
        <v>0</v>
      </c>
      <c r="H1410" s="5">
        <v>1122.923385</v>
      </c>
      <c r="J1410" s="4">
        <v>0</v>
      </c>
      <c r="K1410" s="7">
        <v>1.3909</v>
      </c>
    </row>
    <row r="1411" spans="1:13">
      <c r="A1411" s="8" t="s">
        <v>1422</v>
      </c>
      <c r="B1411" s="2">
        <f>HYPERLINK("https://www.suredividend.com/sure-analysis-research-database/","PROKIDNEY CORP.")</f>
        <v>0</v>
      </c>
      <c r="C1411" s="1" t="s">
        <v>1959</v>
      </c>
      <c r="D1411" s="3">
        <v>2.14</v>
      </c>
      <c r="F1411" s="4">
        <v>0</v>
      </c>
      <c r="G1411" s="3">
        <v>0</v>
      </c>
      <c r="H1411" s="5">
        <v>646.793915</v>
      </c>
      <c r="J1411" s="4">
        <v>0</v>
      </c>
      <c r="K1411" s="7">
        <v>2.5078</v>
      </c>
      <c r="L1411" s="3">
        <v>7.13</v>
      </c>
      <c r="M1411" s="3">
        <v>0.46</v>
      </c>
    </row>
    <row r="1412" spans="1:13">
      <c r="A1412" s="8" t="s">
        <v>1423</v>
      </c>
      <c r="B1412" s="2">
        <f>HYPERLINK("https://www.suredividend.com/sure-analysis-research-database/","Prairie Operating Co.")</f>
        <v>0</v>
      </c>
      <c r="C1412" s="1" t="s">
        <v>1969</v>
      </c>
      <c r="D1412" s="3">
        <v>1.92</v>
      </c>
      <c r="F1412" s="4">
        <v>0</v>
      </c>
      <c r="G1412" s="3">
        <v>0</v>
      </c>
      <c r="H1412" s="5">
        <v>96.186468</v>
      </c>
      <c r="J1412" s="4">
        <v>0</v>
      </c>
      <c r="K1412" s="7">
        <v>-12.7882</v>
      </c>
      <c r="L1412" s="3">
        <v>10.58</v>
      </c>
      <c r="M1412" s="3">
        <v>1.57</v>
      </c>
    </row>
    <row r="1413" spans="1:13">
      <c r="A1413" s="8" t="s">
        <v>1424</v>
      </c>
      <c r="B1413" s="2">
        <f>HYPERLINK("https://www.suredividend.com/sure-analysis-research-database/","Purple Innovation, Inc.")</f>
        <v>0</v>
      </c>
      <c r="C1413" s="1" t="s">
        <v>1963</v>
      </c>
      <c r="D1413" s="3">
        <v>0.7126</v>
      </c>
      <c r="F1413" s="4">
        <v>0</v>
      </c>
      <c r="G1413" s="3">
        <v>0</v>
      </c>
      <c r="J1413" s="4">
        <v>0</v>
      </c>
      <c r="K1413" s="7">
        <v>1.6687</v>
      </c>
      <c r="L1413" s="3">
        <v>1.29</v>
      </c>
      <c r="M1413" s="3">
        <v>0.5600000000000001</v>
      </c>
    </row>
    <row r="1414" spans="1:13">
      <c r="A1414" s="8" t="s">
        <v>1425</v>
      </c>
      <c r="B1414" s="2">
        <f>HYPERLINK("https://www.suredividend.com/sure-analysis-research-database/","Pursuit Attractions &amp; Hospitality, Inc.")</f>
        <v>0</v>
      </c>
      <c r="C1414" s="1" t="s">
        <v>1959</v>
      </c>
      <c r="D1414" s="3">
        <v>35.2</v>
      </c>
      <c r="F1414" s="4">
        <v>0</v>
      </c>
      <c r="G1414" s="3">
        <v>0.4</v>
      </c>
      <c r="H1414" s="5">
        <v>995.28806</v>
      </c>
      <c r="I1414" s="6">
        <v>2.7336</v>
      </c>
      <c r="J1414" s="4">
        <v>0.019655</v>
      </c>
      <c r="K1414" s="7">
        <v>1.3597</v>
      </c>
      <c r="L1414" s="3">
        <v>42.43</v>
      </c>
      <c r="M1414" s="3">
        <v>26.66</v>
      </c>
    </row>
    <row r="1415" spans="1:13">
      <c r="A1415" s="8" t="s">
        <v>1426</v>
      </c>
      <c r="B1415" s="2">
        <f>HYPERLINK("https://www.suredividend.com/sure-analysis-research-database/","PROTHENA CORP PUBLIC LTD CO")</f>
        <v>0</v>
      </c>
      <c r="C1415" s="1" t="s">
        <v>1965</v>
      </c>
      <c r="D1415" s="3">
        <v>9.23</v>
      </c>
      <c r="F1415" s="4">
        <v>0</v>
      </c>
      <c r="G1415" s="3">
        <v>0</v>
      </c>
      <c r="H1415" s="5">
        <v>521.074226</v>
      </c>
      <c r="J1415" s="4">
        <v>0</v>
      </c>
      <c r="K1415" s="7">
        <v>0.9476</v>
      </c>
      <c r="L1415" s="3">
        <v>16.67</v>
      </c>
      <c r="M1415" s="3">
        <v>4.32</v>
      </c>
    </row>
    <row r="1416" spans="1:13">
      <c r="A1416" s="8" t="s">
        <v>1427</v>
      </c>
      <c r="B1416" s="2">
        <f>HYPERLINK("https://www.suredividend.com/sure-analysis-research-database/","Priority Technology Holdings, Inc.")</f>
        <v>0</v>
      </c>
      <c r="C1416" s="1" t="s">
        <v>1960</v>
      </c>
      <c r="D1416" s="3">
        <v>5.99</v>
      </c>
      <c r="F1416" s="4">
        <v>0</v>
      </c>
      <c r="G1416" s="3">
        <v>0</v>
      </c>
      <c r="H1416" s="5">
        <v>490.410692</v>
      </c>
      <c r="I1416" s="6">
        <v>11.4137</v>
      </c>
      <c r="J1416" s="4">
        <v>0.139876</v>
      </c>
      <c r="K1416" s="7">
        <v>1.3937</v>
      </c>
      <c r="L1416" s="3">
        <v>12.47</v>
      </c>
      <c r="M1416" s="3">
        <v>4.44</v>
      </c>
    </row>
    <row r="1417" spans="1:13">
      <c r="A1417" s="8" t="s">
        <v>1428</v>
      </c>
      <c r="B1417" s="2">
        <f>HYPERLINK("https://www.suredividend.com/sure-analysis-research-database/","Privia Health Group, Inc.")</f>
        <v>0</v>
      </c>
      <c r="C1417" s="1" t="s">
        <v>1959</v>
      </c>
      <c r="D1417" s="3">
        <v>23.595</v>
      </c>
      <c r="F1417" s="4">
        <v>0</v>
      </c>
      <c r="G1417" s="3">
        <v>0</v>
      </c>
      <c r="H1417" s="5">
        <v>2902.836084</v>
      </c>
      <c r="I1417" s="6">
        <v>159.7862</v>
      </c>
      <c r="J1417" s="4">
        <v>0</v>
      </c>
      <c r="K1417" s="7">
        <v>0.8449</v>
      </c>
      <c r="L1417" s="3">
        <v>26.51</v>
      </c>
      <c r="M1417" s="3">
        <v>18.77</v>
      </c>
    </row>
    <row r="1418" spans="1:13">
      <c r="A1418" s="8" t="s">
        <v>1429</v>
      </c>
      <c r="B1418" s="2">
        <f>HYPERLINK("https://www.suredividend.com/sure-analysis-research-database/","Paysafe Ltd")</f>
        <v>0</v>
      </c>
      <c r="C1418" s="1" t="s">
        <v>1959</v>
      </c>
      <c r="D1418" s="3">
        <v>7.155</v>
      </c>
      <c r="F1418" s="4">
        <v>0</v>
      </c>
      <c r="G1418" s="3">
        <v>0</v>
      </c>
      <c r="H1418" s="5">
        <v>813.588726</v>
      </c>
      <c r="I1418" s="6">
        <v>36.7143</v>
      </c>
      <c r="J1418" s="4">
        <v>0</v>
      </c>
      <c r="K1418" s="7">
        <v>1.4969</v>
      </c>
      <c r="L1418" s="3">
        <v>24.11</v>
      </c>
      <c r="M1418" s="3">
        <v>6.43</v>
      </c>
    </row>
    <row r="1419" spans="1:13">
      <c r="A1419" s="8" t="s">
        <v>1430</v>
      </c>
      <c r="B1419" s="2">
        <f>HYPERLINK("https://www.suredividend.com/sure-analysis-research-database/","PRICESMART INC")</f>
        <v>0</v>
      </c>
      <c r="C1419" s="1" t="s">
        <v>1966</v>
      </c>
      <c r="D1419" s="3">
        <v>144.94</v>
      </c>
      <c r="E1419" s="4">
        <v>0.01</v>
      </c>
      <c r="F1419" s="4">
        <v>0.00928</v>
      </c>
      <c r="G1419" s="3">
        <v>1.26</v>
      </c>
      <c r="H1419" s="5">
        <v>4493.195953</v>
      </c>
      <c r="I1419" s="6">
        <v>29.8303</v>
      </c>
      <c r="J1419" s="4">
        <v>0</v>
      </c>
      <c r="K1419" s="7">
        <v>0.5283</v>
      </c>
      <c r="L1419" s="3">
        <v>148.03</v>
      </c>
      <c r="M1419" s="3">
        <v>80.79000000000001</v>
      </c>
    </row>
    <row r="1420" spans="1:13">
      <c r="A1420" s="8" t="s">
        <v>1431</v>
      </c>
      <c r="B1420" s="2">
        <f>HYPERLINK("https://www.suredividend.com/sure-analysis-PSTL/","Postal Realty Trust, Inc.")</f>
        <v>0</v>
      </c>
      <c r="C1420" s="1" t="s">
        <v>1961</v>
      </c>
      <c r="D1420" s="3">
        <v>17.75</v>
      </c>
      <c r="E1420" s="4">
        <v>0.0552112676056338</v>
      </c>
      <c r="F1420" s="4">
        <v>0.05844</v>
      </c>
      <c r="G1420" s="3">
        <v>0.97</v>
      </c>
      <c r="H1420" s="5">
        <v>458.441767</v>
      </c>
      <c r="I1420" s="6">
        <v>32.7271</v>
      </c>
      <c r="J1420" s="4">
        <v>1.666872</v>
      </c>
      <c r="K1420" s="7">
        <v>0.362</v>
      </c>
      <c r="L1420" s="3">
        <v>17.93</v>
      </c>
      <c r="M1420" s="3">
        <v>11.63</v>
      </c>
    </row>
    <row r="1421" spans="1:13">
      <c r="A1421" s="8" t="s">
        <v>1432</v>
      </c>
      <c r="B1421" s="2">
        <f>HYPERLINK("https://www.suredividend.com/sure-analysis-research-database/","PTC THERAPEUTICS, INC.")</f>
        <v>0</v>
      </c>
      <c r="C1421" s="1" t="s">
        <v>1965</v>
      </c>
      <c r="D1421" s="3">
        <v>75.31999999999999</v>
      </c>
      <c r="F1421" s="4">
        <v>0</v>
      </c>
      <c r="G1421" s="3">
        <v>0</v>
      </c>
      <c r="H1421" s="5">
        <v>6066.584326</v>
      </c>
      <c r="I1421" s="6">
        <v>8.0702</v>
      </c>
      <c r="J1421" s="4">
        <v>0</v>
      </c>
      <c r="K1421" s="7">
        <v>1.2717</v>
      </c>
      <c r="L1421" s="3">
        <v>87.5</v>
      </c>
      <c r="M1421" s="3">
        <v>35.95</v>
      </c>
    </row>
    <row r="1422" spans="1:13">
      <c r="A1422" s="8" t="s">
        <v>1433</v>
      </c>
      <c r="B1422" s="2">
        <f>HYPERLINK("https://www.suredividend.com/sure-analysis-research-database/","PATTERSON UTI ENERGY INC")</f>
        <v>0</v>
      </c>
      <c r="C1422" s="1" t="s">
        <v>1969</v>
      </c>
      <c r="D1422" s="3">
        <v>7.31</v>
      </c>
      <c r="E1422" s="4">
        <v>0.04</v>
      </c>
      <c r="F1422" s="4">
        <v>0.03735</v>
      </c>
      <c r="G1422" s="3">
        <v>0.32</v>
      </c>
      <c r="H1422" s="5">
        <v>2791.221297</v>
      </c>
      <c r="K1422" s="7">
        <v>1.2174</v>
      </c>
      <c r="L1422" s="3">
        <v>9.029999999999999</v>
      </c>
      <c r="M1422" s="3">
        <v>4.91</v>
      </c>
    </row>
    <row r="1423" spans="1:13">
      <c r="A1423" s="8" t="s">
        <v>1434</v>
      </c>
      <c r="B1423" s="2">
        <f>HYPERLINK("https://www.suredividend.com/sure-analysis-research-database/","Protagonist Therapeutics, Inc")</f>
        <v>0</v>
      </c>
      <c r="C1423" s="1" t="s">
        <v>1965</v>
      </c>
      <c r="D1423" s="3">
        <v>83.68000000000001</v>
      </c>
      <c r="F1423" s="4">
        <v>0</v>
      </c>
      <c r="G1423" s="3">
        <v>0</v>
      </c>
      <c r="H1423" s="5">
        <v>5244.439221</v>
      </c>
      <c r="I1423" s="6">
        <v>114.2355</v>
      </c>
      <c r="J1423" s="4">
        <v>0</v>
      </c>
      <c r="K1423" s="7">
        <v>-0.1239</v>
      </c>
      <c r="L1423" s="3">
        <v>96.54000000000001</v>
      </c>
      <c r="M1423" s="3">
        <v>33.7</v>
      </c>
    </row>
    <row r="1424" spans="1:13">
      <c r="A1424" s="8" t="s">
        <v>1435</v>
      </c>
      <c r="B1424" s="2">
        <f>HYPERLINK("https://www.suredividend.com/sure-analysis-research-database/","Portillo's Inc.")</f>
        <v>0</v>
      </c>
      <c r="C1424" s="1" t="s">
        <v>1959</v>
      </c>
      <c r="D1424" s="3">
        <v>5.93</v>
      </c>
      <c r="F1424" s="4">
        <v>0</v>
      </c>
      <c r="G1424" s="3">
        <v>0</v>
      </c>
      <c r="H1424" s="5">
        <v>447.725415</v>
      </c>
      <c r="I1424" s="6">
        <v>18.2775</v>
      </c>
      <c r="J1424" s="4">
        <v>0.047387</v>
      </c>
      <c r="K1424" s="7">
        <v>1.1015</v>
      </c>
      <c r="L1424" s="3">
        <v>15.78</v>
      </c>
      <c r="M1424" s="3">
        <v>4.41</v>
      </c>
    </row>
    <row r="1425" spans="1:13">
      <c r="A1425" s="8" t="s">
        <v>1436</v>
      </c>
      <c r="B1425" s="2">
        <f>HYPERLINK("https://www.suredividend.com/sure-analysis-research-database/","PELOTON INTERACTIVE, INC.")</f>
        <v>0</v>
      </c>
      <c r="C1425" s="1" t="s">
        <v>1963</v>
      </c>
      <c r="D1425" s="3">
        <v>5.89</v>
      </c>
      <c r="F1425" s="4">
        <v>0</v>
      </c>
      <c r="G1425" s="3">
        <v>0</v>
      </c>
      <c r="H1425" s="5">
        <v>2448.345926</v>
      </c>
      <c r="J1425" s="4">
        <v>0</v>
      </c>
      <c r="K1425" s="7">
        <v>2.5309</v>
      </c>
      <c r="L1425" s="3">
        <v>10.25</v>
      </c>
      <c r="M1425" s="3">
        <v>4.63</v>
      </c>
    </row>
    <row r="1426" spans="1:13">
      <c r="A1426" s="8" t="s">
        <v>1437</v>
      </c>
      <c r="B1426" s="2">
        <f>HYPERLINK("https://www.suredividend.com/sure-analysis-research-database/","PubMatic, Inc.")</f>
        <v>0</v>
      </c>
      <c r="C1426" s="1" t="s">
        <v>1959</v>
      </c>
      <c r="D1426" s="3">
        <v>7.46</v>
      </c>
      <c r="F1426" s="4">
        <v>0</v>
      </c>
      <c r="G1426" s="3">
        <v>0</v>
      </c>
      <c r="H1426" s="5">
        <v>346.254423</v>
      </c>
      <c r="J1426" s="4">
        <v>0</v>
      </c>
      <c r="K1426" s="7">
        <v>1.6052</v>
      </c>
      <c r="L1426" s="3">
        <v>17.32</v>
      </c>
      <c r="M1426" s="3">
        <v>7.01</v>
      </c>
    </row>
    <row r="1427" spans="1:13">
      <c r="A1427" s="8" t="s">
        <v>1438</v>
      </c>
      <c r="B1427" s="2">
        <f>HYPERLINK("https://www.suredividend.com/sure-analysis-research-database/","ProPetro Holding Corp.")</f>
        <v>0</v>
      </c>
      <c r="C1427" s="1" t="s">
        <v>1969</v>
      </c>
      <c r="D1427" s="3">
        <v>11</v>
      </c>
      <c r="F1427" s="4">
        <v>0</v>
      </c>
      <c r="G1427" s="3">
        <v>0</v>
      </c>
      <c r="H1427" s="5">
        <v>1151.082744</v>
      </c>
      <c r="J1427" s="4">
        <v>0</v>
      </c>
      <c r="K1427" s="7">
        <v>1.1853</v>
      </c>
      <c r="L1427" s="3">
        <v>11.66</v>
      </c>
      <c r="M1427" s="3">
        <v>4.51</v>
      </c>
    </row>
    <row r="1428" spans="1:13">
      <c r="A1428" s="8" t="s">
        <v>1439</v>
      </c>
      <c r="B1428" s="2">
        <f>HYPERLINK("https://www.suredividend.com/sure-analysis-research-database/","Provident Bancorp, Inc. /MD/")</f>
        <v>0</v>
      </c>
      <c r="C1428" s="1" t="s">
        <v>1962</v>
      </c>
      <c r="D1428" s="3">
        <v>13.65</v>
      </c>
      <c r="F1428" s="4">
        <v>0.004</v>
      </c>
      <c r="G1428" s="3">
        <v>0.16</v>
      </c>
      <c r="H1428" s="5">
        <v>240.069771</v>
      </c>
      <c r="I1428" s="6">
        <v>19.1352</v>
      </c>
      <c r="J1428" s="4">
        <v>0</v>
      </c>
      <c r="K1428" s="7">
        <v>0.526</v>
      </c>
    </row>
    <row r="1429" spans="1:13">
      <c r="A1429" s="8" t="s">
        <v>1440</v>
      </c>
      <c r="B1429" s="2">
        <f>HYPERLINK("https://www.suredividend.com/sure-analysis-research-database/","Perella Weinberg Partners")</f>
        <v>0</v>
      </c>
      <c r="C1429" s="1" t="s">
        <v>1959</v>
      </c>
      <c r="D1429" s="3">
        <v>22.03</v>
      </c>
      <c r="E1429" s="4">
        <v>0.02</v>
      </c>
      <c r="F1429" s="4">
        <v>0.0134</v>
      </c>
      <c r="G1429" s="3">
        <v>0.35</v>
      </c>
      <c r="H1429" s="5">
        <v>1956.460552</v>
      </c>
      <c r="I1429" s="6">
        <v>41.7556</v>
      </c>
      <c r="J1429" s="4">
        <v>0.488095</v>
      </c>
      <c r="K1429" s="7">
        <v>1.423</v>
      </c>
      <c r="L1429" s="3">
        <v>26.67</v>
      </c>
      <c r="M1429" s="3">
        <v>13.97</v>
      </c>
    </row>
    <row r="1430" spans="1:13">
      <c r="A1430" s="8" t="s">
        <v>1441</v>
      </c>
      <c r="B1430" s="2">
        <f>HYPERLINK("https://www.suredividend.com/sure-analysis-research-database/","P10, Inc.")</f>
        <v>0</v>
      </c>
      <c r="C1430" s="1" t="s">
        <v>1959</v>
      </c>
      <c r="D1430" s="3">
        <v>11.08</v>
      </c>
      <c r="E1430" s="4">
        <v>0.01</v>
      </c>
      <c r="F1430" s="4">
        <v>0.00953</v>
      </c>
      <c r="G1430" s="3">
        <v>0.15</v>
      </c>
      <c r="H1430" s="5">
        <v>1220.067348</v>
      </c>
      <c r="I1430" s="6">
        <v>79.5869</v>
      </c>
      <c r="J1430" s="4">
        <v>0.952411</v>
      </c>
      <c r="K1430" s="7">
        <v>1.3089</v>
      </c>
      <c r="L1430" s="3">
        <v>13.75</v>
      </c>
      <c r="M1430" s="3">
        <v>8.65</v>
      </c>
    </row>
    <row r="1431" spans="1:13">
      <c r="A1431" s="8" t="s">
        <v>1442</v>
      </c>
      <c r="B1431" s="2">
        <f>HYPERLINK("https://www.suredividend.com/sure-analysis-research-database/","Pyxis Oncology, Inc.")</f>
        <v>0</v>
      </c>
      <c r="C1431" s="1" t="s">
        <v>1959</v>
      </c>
      <c r="D1431" s="3">
        <v>1.67</v>
      </c>
      <c r="F1431" s="4">
        <v>0</v>
      </c>
      <c r="G1431" s="3">
        <v>0</v>
      </c>
      <c r="H1431" s="5">
        <v>103.845261</v>
      </c>
      <c r="J1431" s="4">
        <v>0</v>
      </c>
      <c r="K1431" s="7">
        <v>1.6504</v>
      </c>
      <c r="L1431" s="3">
        <v>5.55</v>
      </c>
      <c r="M1431" s="3">
        <v>0.83</v>
      </c>
    </row>
    <row r="1432" spans="1:13">
      <c r="A1432" s="8" t="s">
        <v>1443</v>
      </c>
      <c r="B1432" s="2">
        <f>HYPERLINK("https://www.suredividend.com/sure-analysis-research-database/","PAPA JOHNS INTERNATIONAL INC")</f>
        <v>0</v>
      </c>
      <c r="C1432" s="1" t="s">
        <v>1963</v>
      </c>
      <c r="D1432" s="3">
        <v>37.7</v>
      </c>
      <c r="E1432" s="4">
        <v>0.05</v>
      </c>
      <c r="F1432" s="4">
        <v>0.0433</v>
      </c>
      <c r="G1432" s="3">
        <v>1.84</v>
      </c>
      <c r="H1432" s="5">
        <v>1237.47256</v>
      </c>
      <c r="I1432" s="6">
        <v>33.1096</v>
      </c>
      <c r="J1432" s="4">
        <v>1.601727</v>
      </c>
      <c r="K1432" s="7">
        <v>1.0711</v>
      </c>
      <c r="L1432" s="3">
        <v>55.12</v>
      </c>
      <c r="M1432" s="3">
        <v>29.2</v>
      </c>
    </row>
    <row r="1433" spans="1:13">
      <c r="A1433" s="8" t="s">
        <v>1444</v>
      </c>
      <c r="B1433" s="2">
        <f>HYPERLINK("https://www.suredividend.com/sure-analysis-research-database/","D-Wave Quantum Inc.")</f>
        <v>0</v>
      </c>
      <c r="C1433" s="1" t="s">
        <v>1959</v>
      </c>
      <c r="D1433" s="3">
        <v>26.53</v>
      </c>
      <c r="F1433" s="4">
        <v>0</v>
      </c>
      <c r="G1433" s="3">
        <v>0</v>
      </c>
      <c r="H1433" s="5">
        <v>9028.551848999999</v>
      </c>
      <c r="J1433" s="4">
        <v>0</v>
      </c>
      <c r="K1433" s="7">
        <v>2.8421</v>
      </c>
      <c r="L1433" s="3">
        <v>46.75</v>
      </c>
      <c r="M1433" s="3">
        <v>4.45</v>
      </c>
    </row>
    <row r="1434" spans="1:13">
      <c r="A1434" s="8" t="s">
        <v>1445</v>
      </c>
      <c r="B1434" s="2">
        <f>HYPERLINK("https://www.suredividend.com/sure-analysis-research-database/","QCR HOLDINGS INC")</f>
        <v>0</v>
      </c>
      <c r="C1434" s="1" t="s">
        <v>1962</v>
      </c>
      <c r="D1434" s="3">
        <v>89.98999999999999</v>
      </c>
      <c r="F1434" s="4">
        <v>0.00291</v>
      </c>
      <c r="G1434" s="3">
        <v>0.24</v>
      </c>
      <c r="H1434" s="5">
        <v>1515.47877</v>
      </c>
      <c r="I1434" s="6">
        <v>12.447</v>
      </c>
      <c r="J1434" s="4">
        <v>0.025001</v>
      </c>
      <c r="K1434" s="7">
        <v>0.8888</v>
      </c>
      <c r="L1434" s="3">
        <v>90</v>
      </c>
      <c r="M1434" s="3">
        <v>60.68</v>
      </c>
    </row>
    <row r="1435" spans="1:13">
      <c r="A1435" s="8" t="s">
        <v>1446</v>
      </c>
      <c r="B1435" s="2">
        <f>HYPERLINK("https://www.suredividend.com/sure-analysis-research-database/","Quipt Home Medical Corp.")</f>
        <v>0</v>
      </c>
      <c r="C1435" s="1" t="s">
        <v>1959</v>
      </c>
      <c r="D1435" s="3">
        <v>3.575</v>
      </c>
      <c r="F1435" s="4">
        <v>0</v>
      </c>
      <c r="G1435" s="3">
        <v>0</v>
      </c>
      <c r="H1435" s="5">
        <v>157.178075</v>
      </c>
      <c r="J1435" s="4">
        <v>0</v>
      </c>
      <c r="K1435" s="7">
        <v>0.3091</v>
      </c>
      <c r="L1435" s="3">
        <v>3.61</v>
      </c>
      <c r="M1435" s="3">
        <v>1.35</v>
      </c>
    </row>
    <row r="1436" spans="1:13">
      <c r="A1436" s="8" t="s">
        <v>1447</v>
      </c>
      <c r="B1436" s="2">
        <f>HYPERLINK("https://www.suredividend.com/sure-analysis-research-database/","QUALYS, INC.")</f>
        <v>0</v>
      </c>
      <c r="C1436" s="1" t="s">
        <v>1960</v>
      </c>
      <c r="D1436" s="3">
        <v>132.48</v>
      </c>
      <c r="F1436" s="4">
        <v>0</v>
      </c>
      <c r="G1436" s="3">
        <v>0</v>
      </c>
      <c r="H1436" s="5">
        <v>4751.22581</v>
      </c>
      <c r="I1436" s="6">
        <v>25.1208</v>
      </c>
      <c r="J1436" s="4">
        <v>0</v>
      </c>
      <c r="K1436" s="7">
        <v>1.0175</v>
      </c>
      <c r="L1436" s="3">
        <v>155.47</v>
      </c>
      <c r="M1436" s="3">
        <v>112.61</v>
      </c>
    </row>
    <row r="1437" spans="1:13">
      <c r="A1437" s="8" t="s">
        <v>1448</v>
      </c>
      <c r="B1437" s="2">
        <f>HYPERLINK("https://www.suredividend.com/sure-analysis-research-database/","QUINSTREET, INC")</f>
        <v>0</v>
      </c>
      <c r="C1437" s="1" t="s">
        <v>1968</v>
      </c>
      <c r="D1437" s="3">
        <v>14.67</v>
      </c>
      <c r="F1437" s="4">
        <v>0</v>
      </c>
      <c r="G1437" s="3">
        <v>0</v>
      </c>
      <c r="H1437" s="5">
        <v>833.113121</v>
      </c>
      <c r="K1437" s="7">
        <v>1.0722</v>
      </c>
      <c r="L1437" s="3">
        <v>25.5</v>
      </c>
      <c r="M1437" s="3">
        <v>12.98</v>
      </c>
    </row>
    <row r="1438" spans="1:13">
      <c r="A1438" s="8" t="s">
        <v>1449</v>
      </c>
      <c r="B1438" s="2">
        <f>HYPERLINK("https://www.suredividend.com/sure-analysis-research-database/","Quest Resource Holding Corp")</f>
        <v>0</v>
      </c>
      <c r="C1438" s="1" t="s">
        <v>1964</v>
      </c>
      <c r="D1438" s="3">
        <v>1.96</v>
      </c>
      <c r="F1438" s="4">
        <v>0</v>
      </c>
      <c r="G1438" s="3">
        <v>0</v>
      </c>
      <c r="H1438" s="5">
        <v>40.905384</v>
      </c>
      <c r="J1438" s="4">
        <v>0</v>
      </c>
      <c r="K1438" s="7">
        <v>1.1388</v>
      </c>
      <c r="L1438" s="3">
        <v>6.16</v>
      </c>
      <c r="M1438" s="3">
        <v>1.11</v>
      </c>
    </row>
    <row r="1439" spans="1:13">
      <c r="A1439" s="8" t="s">
        <v>1450</v>
      </c>
      <c r="B1439" s="2">
        <f>HYPERLINK("https://www.suredividend.com/sure-analysis-research-database/","Quantum-Si Inc")</f>
        <v>0</v>
      </c>
      <c r="C1439" s="1" t="s">
        <v>1959</v>
      </c>
      <c r="D1439" s="3">
        <v>1.22</v>
      </c>
      <c r="F1439" s="4">
        <v>0</v>
      </c>
      <c r="G1439" s="3">
        <v>0</v>
      </c>
      <c r="H1439" s="5">
        <v>265.052288</v>
      </c>
      <c r="J1439" s="4">
        <v>0</v>
      </c>
      <c r="K1439" s="7">
        <v>2.8898</v>
      </c>
      <c r="L1439" s="3">
        <v>3.1</v>
      </c>
      <c r="M1439" s="3">
        <v>0.95</v>
      </c>
    </row>
    <row r="1440" spans="1:13">
      <c r="A1440" s="8" t="s">
        <v>1451</v>
      </c>
      <c r="B1440" s="2">
        <f>HYPERLINK("https://www.suredividend.com/sure-analysis-research-database/","Quanterix Corp")</f>
        <v>0</v>
      </c>
      <c r="C1440" s="1" t="s">
        <v>1965</v>
      </c>
      <c r="D1440" s="3">
        <v>7.11</v>
      </c>
      <c r="F1440" s="4">
        <v>0</v>
      </c>
      <c r="G1440" s="3">
        <v>0</v>
      </c>
      <c r="H1440" s="5">
        <v>329.311119</v>
      </c>
      <c r="J1440" s="4">
        <v>0</v>
      </c>
      <c r="K1440" s="7">
        <v>1.2037</v>
      </c>
      <c r="L1440" s="3">
        <v>10.28</v>
      </c>
      <c r="M1440" s="3">
        <v>4.05</v>
      </c>
    </row>
    <row r="1441" spans="1:13">
      <c r="A1441" s="8" t="s">
        <v>1452</v>
      </c>
      <c r="B1441" s="2">
        <f>HYPERLINK("https://www.suredividend.com/sure-analysis-research-database/","Q32 Bio Inc.")</f>
        <v>0</v>
      </c>
      <c r="C1441" s="1" t="s">
        <v>1959</v>
      </c>
      <c r="D1441" s="3">
        <v>4.12</v>
      </c>
      <c r="F1441" s="4">
        <v>0</v>
      </c>
      <c r="G1441" s="3">
        <v>0</v>
      </c>
      <c r="H1441" s="5">
        <v>51.432191</v>
      </c>
      <c r="J1441" s="4">
        <v>0</v>
      </c>
      <c r="K1441" s="7">
        <v>0.9976</v>
      </c>
      <c r="L1441" s="3">
        <v>6.37</v>
      </c>
      <c r="M1441" s="3">
        <v>1.35</v>
      </c>
    </row>
    <row r="1442" spans="1:13">
      <c r="A1442" s="8" t="s">
        <v>1453</v>
      </c>
      <c r="B1442" s="2">
        <f>HYPERLINK("https://www.suredividend.com/sure-analysis-research-database/","Q2 Holdings, Inc.")</f>
        <v>0</v>
      </c>
      <c r="C1442" s="1" t="s">
        <v>1960</v>
      </c>
      <c r="D1442" s="3">
        <v>65.56</v>
      </c>
      <c r="F1442" s="4">
        <v>0</v>
      </c>
      <c r="G1442" s="3">
        <v>0</v>
      </c>
      <c r="H1442" s="5">
        <v>4098.216528</v>
      </c>
      <c r="I1442" s="6">
        <v>129.1631</v>
      </c>
      <c r="J1442" s="4">
        <v>0</v>
      </c>
      <c r="K1442" s="7">
        <v>1.6291</v>
      </c>
      <c r="L1442" s="3">
        <v>102.07</v>
      </c>
      <c r="M1442" s="3">
        <v>58.57</v>
      </c>
    </row>
    <row r="1443" spans="1:13">
      <c r="A1443" s="8" t="s">
        <v>1454</v>
      </c>
      <c r="B1443" s="2">
        <f>HYPERLINK("https://www.suredividend.com/sure-analysis-research-database/","Quad/Graphics, Inc.")</f>
        <v>0</v>
      </c>
      <c r="C1443" s="1" t="s">
        <v>1964</v>
      </c>
      <c r="D1443" s="3">
        <v>6.205</v>
      </c>
      <c r="E1443" s="4">
        <v>0.05</v>
      </c>
      <c r="F1443" s="4">
        <v>0.01839</v>
      </c>
      <c r="G1443" s="3">
        <v>0.3</v>
      </c>
      <c r="H1443" s="5">
        <v>315.973339</v>
      </c>
      <c r="I1443" s="6">
        <v>15.3385</v>
      </c>
      <c r="J1443" s="4">
        <v>0.645631</v>
      </c>
      <c r="K1443" s="7">
        <v>0.9992</v>
      </c>
      <c r="L1443" s="3">
        <v>7.63</v>
      </c>
      <c r="M1443" s="3">
        <v>4.33</v>
      </c>
    </row>
    <row r="1444" spans="1:13">
      <c r="A1444" s="8" t="s">
        <v>1455</v>
      </c>
      <c r="B1444" s="2">
        <f>HYPERLINK("https://www.suredividend.com/sure-analysis-research-database/","QUICKLOGIC Corp")</f>
        <v>0</v>
      </c>
      <c r="C1444" s="1" t="s">
        <v>1960</v>
      </c>
      <c r="D1444" s="3">
        <v>9.09</v>
      </c>
      <c r="F1444" s="4">
        <v>0</v>
      </c>
      <c r="G1444" s="3">
        <v>0</v>
      </c>
      <c r="H1444" s="5">
        <v>153.812277</v>
      </c>
      <c r="J1444" s="4">
        <v>0</v>
      </c>
      <c r="K1444" s="7">
        <v>1.7217</v>
      </c>
      <c r="L1444" s="3">
        <v>9.76</v>
      </c>
      <c r="M1444" s="3">
        <v>4.26</v>
      </c>
    </row>
    <row r="1445" spans="1:13">
      <c r="A1445" s="8" t="s">
        <v>1456</v>
      </c>
      <c r="B1445" s="2">
        <f>HYPERLINK("https://www.suredividend.com/sure-analysis-research-database/","LiveRamp Holdings, Inc.")</f>
        <v>0</v>
      </c>
      <c r="C1445" s="1" t="s">
        <v>1960</v>
      </c>
      <c r="D1445" s="3">
        <v>25.31</v>
      </c>
      <c r="F1445" s="4">
        <v>0</v>
      </c>
      <c r="G1445" s="3">
        <v>0</v>
      </c>
      <c r="H1445" s="5">
        <v>1592.494077</v>
      </c>
      <c r="I1445" s="6">
        <v>39.7032</v>
      </c>
      <c r="J1445" s="4">
        <v>0</v>
      </c>
      <c r="K1445" s="7">
        <v>1.3211</v>
      </c>
      <c r="L1445" s="3">
        <v>36.08</v>
      </c>
      <c r="M1445" s="3">
        <v>22.82</v>
      </c>
    </row>
    <row r="1446" spans="1:13">
      <c r="A1446" s="8" t="s">
        <v>1457</v>
      </c>
      <c r="B1446" s="2">
        <f>HYPERLINK("https://www.suredividend.com/sure-analysis-research-database/","Rapport Therapeutics, Inc.")</f>
        <v>0</v>
      </c>
      <c r="C1446" s="1" t="s">
        <v>1959</v>
      </c>
      <c r="D1446" s="3">
        <v>26.4</v>
      </c>
      <c r="F1446" s="4">
        <v>0</v>
      </c>
      <c r="G1446" s="3">
        <v>0</v>
      </c>
      <c r="H1446" s="5">
        <v>1258.254043</v>
      </c>
      <c r="J1446" s="4">
        <v>0</v>
      </c>
      <c r="K1446" s="7">
        <v>1.5139</v>
      </c>
      <c r="L1446" s="3">
        <v>42.27</v>
      </c>
      <c r="M1446" s="3">
        <v>6.43</v>
      </c>
    </row>
    <row r="1447" spans="1:13">
      <c r="A1447" s="8" t="s">
        <v>1458</v>
      </c>
      <c r="B1447" s="2">
        <f>HYPERLINK("https://www.suredividend.com/sure-analysis-research-database/","RAPT Therapeutics, Inc.")</f>
        <v>0</v>
      </c>
      <c r="C1447" s="1" t="s">
        <v>1965</v>
      </c>
      <c r="D1447" s="3">
        <v>57.6</v>
      </c>
      <c r="F1447" s="4">
        <v>0</v>
      </c>
      <c r="G1447" s="3">
        <v>0</v>
      </c>
      <c r="H1447" s="5">
        <v>1596.423278</v>
      </c>
      <c r="J1447" s="4">
        <v>0</v>
      </c>
      <c r="K1447" s="7">
        <v>2.1072</v>
      </c>
      <c r="L1447" s="3">
        <v>57.62</v>
      </c>
      <c r="M1447" s="3">
        <v>5.67</v>
      </c>
    </row>
    <row r="1448" spans="1:13">
      <c r="A1448" s="8" t="s">
        <v>1459</v>
      </c>
      <c r="B1448" s="2">
        <f>HYPERLINK("https://www.suredividend.com/sure-analysis-research-database/","RBB Bancorp")</f>
        <v>0</v>
      </c>
      <c r="C1448" s="1" t="s">
        <v>1962</v>
      </c>
      <c r="D1448" s="3">
        <v>22.33</v>
      </c>
      <c r="E1448" s="4">
        <v>0.03</v>
      </c>
      <c r="F1448" s="4">
        <v>0.02902</v>
      </c>
      <c r="G1448" s="3">
        <v>0.64</v>
      </c>
      <c r="H1448" s="5">
        <v>380.65721</v>
      </c>
      <c r="I1448" s="6">
        <v>14.5533</v>
      </c>
      <c r="J1448" s="4">
        <v>0.434508</v>
      </c>
      <c r="K1448" s="7">
        <v>1.1407</v>
      </c>
      <c r="L1448" s="3">
        <v>22.59</v>
      </c>
      <c r="M1448" s="3">
        <v>14.01</v>
      </c>
    </row>
    <row r="1449" spans="1:13">
      <c r="A1449" s="8" t="s">
        <v>1460</v>
      </c>
      <c r="B1449" s="2">
        <f>HYPERLINK("https://www.suredividend.com/sure-analysis-research-database/","Ribbon Communications Inc.")</f>
        <v>0</v>
      </c>
      <c r="C1449" s="1" t="s">
        <v>1968</v>
      </c>
      <c r="D1449" s="3">
        <v>2.68</v>
      </c>
      <c r="F1449" s="4">
        <v>0</v>
      </c>
      <c r="G1449" s="3">
        <v>0</v>
      </c>
      <c r="H1449" s="5">
        <v>398.7031</v>
      </c>
      <c r="J1449" s="4">
        <v>0</v>
      </c>
      <c r="K1449" s="7">
        <v>1.4063</v>
      </c>
      <c r="L1449" s="3">
        <v>5.38</v>
      </c>
      <c r="M1449" s="3">
        <v>2.62</v>
      </c>
    </row>
    <row r="1450" spans="1:13">
      <c r="A1450" s="8" t="s">
        <v>1461</v>
      </c>
      <c r="B1450" s="2">
        <f>HYPERLINK("https://www.suredividend.com/sure-analysis-RBCAA/","REPUBLIC BANCORP INC /KY/")</f>
        <v>0</v>
      </c>
      <c r="C1450" s="1" t="s">
        <v>1962</v>
      </c>
      <c r="D1450" s="3">
        <v>74.89</v>
      </c>
      <c r="E1450" s="4">
        <v>0.024035251702497</v>
      </c>
      <c r="F1450" s="4">
        <v>0.02194</v>
      </c>
      <c r="G1450" s="3">
        <v>1.8</v>
      </c>
      <c r="H1450" s="5">
        <v>1463.739536</v>
      </c>
      <c r="I1450" s="6">
        <v>11.4792</v>
      </c>
      <c r="J1450" s="4">
        <v>0.258548</v>
      </c>
      <c r="K1450" s="7">
        <v>0.7562</v>
      </c>
      <c r="L1450" s="3">
        <v>77.31999999999999</v>
      </c>
      <c r="M1450" s="3">
        <v>55.75</v>
      </c>
    </row>
    <row r="1451" spans="1:13">
      <c r="A1451" s="8" t="s">
        <v>1462</v>
      </c>
      <c r="B1451" s="2">
        <f>HYPERLINK("https://www.suredividend.com/sure-analysis-research-database/","Ready Capital Corp")</f>
        <v>0</v>
      </c>
      <c r="C1451" s="1" t="s">
        <v>1961</v>
      </c>
      <c r="D1451" s="3">
        <v>2.33</v>
      </c>
      <c r="E1451" s="4">
        <v>0.16</v>
      </c>
      <c r="F1451" s="4">
        <v>0.61422</v>
      </c>
      <c r="G1451" s="3">
        <v>0.39</v>
      </c>
      <c r="H1451" s="5">
        <v>379.375486</v>
      </c>
      <c r="K1451" s="7">
        <v>1.0214</v>
      </c>
      <c r="L1451" s="3">
        <v>6.43</v>
      </c>
      <c r="M1451" s="3">
        <v>1.97</v>
      </c>
    </row>
    <row r="1452" spans="1:13">
      <c r="A1452" s="8" t="s">
        <v>1463</v>
      </c>
      <c r="B1452" s="2">
        <f>HYPERLINK("https://www.suredividend.com/sure-analysis-research-database/","AVITA Medical, Inc.")</f>
        <v>0</v>
      </c>
      <c r="C1452" s="1" t="s">
        <v>1965</v>
      </c>
      <c r="D1452" s="3">
        <v>4.16</v>
      </c>
      <c r="F1452" s="4">
        <v>0</v>
      </c>
      <c r="G1452" s="3">
        <v>0</v>
      </c>
      <c r="H1452" s="5">
        <v>5.93091</v>
      </c>
      <c r="J1452" s="4">
        <v>0</v>
      </c>
      <c r="K1452" s="7">
        <v>1.7847</v>
      </c>
      <c r="L1452" s="3">
        <v>11.25</v>
      </c>
      <c r="M1452" s="3">
        <v>3.22</v>
      </c>
    </row>
    <row r="1453" spans="1:13">
      <c r="A1453" s="8" t="s">
        <v>1464</v>
      </c>
      <c r="B1453" s="2">
        <f>HYPERLINK("https://www.suredividend.com/sure-analysis-research-database/","ROCKET PHARMACEUTICALS, INC.")</f>
        <v>0</v>
      </c>
      <c r="C1453" s="1" t="s">
        <v>1965</v>
      </c>
      <c r="D1453" s="3">
        <v>3.74</v>
      </c>
      <c r="F1453" s="4">
        <v>0</v>
      </c>
      <c r="G1453" s="3">
        <v>0</v>
      </c>
      <c r="H1453" s="5">
        <v>399.340021</v>
      </c>
      <c r="J1453" s="4">
        <v>0</v>
      </c>
      <c r="K1453" s="7">
        <v>1.6169</v>
      </c>
      <c r="L1453" s="3">
        <v>11.45</v>
      </c>
      <c r="M1453" s="3">
        <v>2.19</v>
      </c>
    </row>
    <row r="1454" spans="1:13">
      <c r="A1454" s="8" t="s">
        <v>1465</v>
      </c>
      <c r="B1454" s="2">
        <f>HYPERLINK("https://www.suredividend.com/sure-analysis-research-database/","ROCKY BRANDS, INC.")</f>
        <v>0</v>
      </c>
      <c r="C1454" s="1" t="s">
        <v>1963</v>
      </c>
      <c r="D1454" s="3">
        <v>33.63</v>
      </c>
      <c r="E1454" s="4">
        <v>0.02</v>
      </c>
      <c r="F1454" s="4">
        <v>0.02116</v>
      </c>
      <c r="G1454" s="3">
        <v>0.62</v>
      </c>
      <c r="H1454" s="5">
        <v>251.712946</v>
      </c>
      <c r="I1454" s="6">
        <v>12.2417</v>
      </c>
      <c r="J1454" s="4">
        <v>0.225027</v>
      </c>
      <c r="K1454" s="7">
        <v>1.7503</v>
      </c>
      <c r="L1454" s="3">
        <v>33.73</v>
      </c>
      <c r="M1454" s="3">
        <v>11.73</v>
      </c>
    </row>
    <row r="1455" spans="1:13">
      <c r="A1455" s="8" t="s">
        <v>1466</v>
      </c>
      <c r="B1455" s="2">
        <f>HYPERLINK("https://www.suredividend.com/sure-analysis-research-database/","Arcus Biosciences, Inc.")</f>
        <v>0</v>
      </c>
      <c r="C1455" s="1" t="s">
        <v>1965</v>
      </c>
      <c r="D1455" s="3">
        <v>23.31</v>
      </c>
      <c r="F1455" s="4">
        <v>0</v>
      </c>
      <c r="G1455" s="3">
        <v>0</v>
      </c>
      <c r="H1455" s="5">
        <v>2477.992651</v>
      </c>
      <c r="J1455" s="4">
        <v>0</v>
      </c>
      <c r="K1455" s="7">
        <v>1.7598</v>
      </c>
      <c r="L1455" s="3">
        <v>26.4</v>
      </c>
      <c r="M1455" s="3">
        <v>6.5</v>
      </c>
    </row>
    <row r="1456" spans="1:13">
      <c r="A1456" s="8" t="s">
        <v>1467</v>
      </c>
      <c r="B1456" s="2">
        <f>HYPERLINK("https://www.suredividend.com/sure-analysis-research-database/","Redfin Corp")</f>
        <v>0</v>
      </c>
      <c r="C1456" s="1" t="s">
        <v>1961</v>
      </c>
      <c r="D1456" s="3">
        <v>11.29</v>
      </c>
      <c r="F1456" s="4">
        <v>0</v>
      </c>
      <c r="G1456" s="3">
        <v>0</v>
      </c>
      <c r="H1456" s="5">
        <v>1432.668893</v>
      </c>
      <c r="J1456" s="4">
        <v>0</v>
      </c>
      <c r="K1456" s="7">
        <v>2.5326</v>
      </c>
    </row>
    <row r="1457" spans="1:13">
      <c r="A1457" s="8" t="s">
        <v>1468</v>
      </c>
      <c r="B1457" s="2">
        <f>HYPERLINK("https://www.suredividend.com/sure-analysis-RDN/","RADIAN GROUP INC")</f>
        <v>0</v>
      </c>
      <c r="C1457" s="1" t="s">
        <v>1962</v>
      </c>
      <c r="D1457" s="3">
        <v>33.48</v>
      </c>
      <c r="E1457" s="4">
        <v>0.03046594982078853</v>
      </c>
      <c r="F1457" s="4">
        <v>0.02362</v>
      </c>
      <c r="G1457" s="3">
        <v>1.02</v>
      </c>
      <c r="H1457" s="5">
        <v>4537.528586</v>
      </c>
      <c r="I1457" s="6">
        <v>7.8765</v>
      </c>
      <c r="J1457" s="4">
        <v>0.255996</v>
      </c>
      <c r="K1457" s="7">
        <v>0.6987</v>
      </c>
      <c r="L1457" s="3">
        <v>38.56</v>
      </c>
      <c r="M1457" s="3">
        <v>28.68</v>
      </c>
    </row>
    <row r="1458" spans="1:13">
      <c r="A1458" s="8" t="s">
        <v>1469</v>
      </c>
      <c r="B1458" s="2">
        <f>HYPERLINK("https://www.suredividend.com/sure-analysis-research-database/","RadNet, Inc.")</f>
        <v>0</v>
      </c>
      <c r="C1458" s="1" t="s">
        <v>1965</v>
      </c>
      <c r="D1458" s="3">
        <v>72.59999999999999</v>
      </c>
      <c r="F1458" s="4">
        <v>0</v>
      </c>
      <c r="G1458" s="3">
        <v>0</v>
      </c>
      <c r="H1458" s="5">
        <v>5554.536624</v>
      </c>
      <c r="J1458" s="4">
        <v>0.252767</v>
      </c>
      <c r="K1458" s="7">
        <v>1.1619</v>
      </c>
      <c r="L1458" s="3">
        <v>85.84</v>
      </c>
      <c r="M1458" s="3">
        <v>45</v>
      </c>
    </row>
    <row r="1459" spans="1:13">
      <c r="A1459" s="8" t="s">
        <v>1470</v>
      </c>
      <c r="B1459" s="2">
        <f>HYPERLINK("https://www.suredividend.com/sure-analysis-research-database/","RADIUS RECYCLING, INC.")</f>
        <v>0</v>
      </c>
      <c r="C1459" s="1" t="s">
        <v>1965</v>
      </c>
      <c r="D1459" s="3">
        <v>29.995</v>
      </c>
      <c r="E1459" s="4">
        <v>0.03</v>
      </c>
      <c r="F1459" s="4">
        <v>0.0225</v>
      </c>
      <c r="G1459" s="3">
        <v>0.75</v>
      </c>
      <c r="H1459" s="5">
        <v>847.72983</v>
      </c>
      <c r="K1459" s="7">
        <v>0.8161</v>
      </c>
    </row>
    <row r="1460" spans="1:13">
      <c r="A1460" s="8" t="s">
        <v>1471</v>
      </c>
      <c r="B1460" s="2">
        <f>HYPERLINK("https://www.suredividend.com/sure-analysis-research-database/","Red Violet, Inc.")</f>
        <v>0</v>
      </c>
      <c r="C1460" s="1" t="s">
        <v>1960</v>
      </c>
      <c r="D1460" s="3">
        <v>49.22</v>
      </c>
      <c r="E1460" s="4">
        <v>0.01</v>
      </c>
      <c r="F1460" s="4">
        <v>0.00114</v>
      </c>
      <c r="G1460" s="3">
        <v>0.3</v>
      </c>
      <c r="H1460" s="5">
        <v>687.551737</v>
      </c>
      <c r="I1460" s="6">
        <v>61.3776</v>
      </c>
      <c r="J1460" s="4">
        <v>0</v>
      </c>
      <c r="K1460" s="7">
        <v>0.8757</v>
      </c>
      <c r="L1460" s="3">
        <v>64.14</v>
      </c>
      <c r="M1460" s="3">
        <v>32.23</v>
      </c>
    </row>
    <row r="1461" spans="1:13">
      <c r="A1461" s="8" t="s">
        <v>1472</v>
      </c>
      <c r="B1461" s="2">
        <f>HYPERLINK("https://www.suredividend.com/sure-analysis-research-database/","Redwire Corp")</f>
        <v>0</v>
      </c>
      <c r="C1461" s="1" t="s">
        <v>1959</v>
      </c>
      <c r="D1461" s="3">
        <v>10.59</v>
      </c>
      <c r="F1461" s="4">
        <v>0</v>
      </c>
      <c r="G1461" s="3">
        <v>0</v>
      </c>
      <c r="H1461" s="5">
        <v>1684.537987</v>
      </c>
      <c r="J1461" s="4">
        <v>0</v>
      </c>
      <c r="K1461" s="7">
        <v>2.5348</v>
      </c>
      <c r="L1461" s="3">
        <v>26.66</v>
      </c>
      <c r="M1461" s="3">
        <v>4.87</v>
      </c>
    </row>
    <row r="1462" spans="1:13">
      <c r="A1462" s="8" t="s">
        <v>1473</v>
      </c>
      <c r="B1462" s="2">
        <f>HYPERLINK("https://www.suredividend.com/sure-analysis-research-database/","Roadzen Inc.")</f>
        <v>0</v>
      </c>
      <c r="C1462" s="1" t="s">
        <v>1959</v>
      </c>
      <c r="D1462" s="3">
        <v>1.88</v>
      </c>
      <c r="F1462" s="4">
        <v>0</v>
      </c>
      <c r="G1462" s="3">
        <v>0</v>
      </c>
      <c r="H1462" s="5">
        <v>146.510876</v>
      </c>
      <c r="J1462" s="4">
        <v>0</v>
      </c>
      <c r="K1462" s="7">
        <v>1.3478</v>
      </c>
      <c r="L1462" s="3">
        <v>2.56</v>
      </c>
      <c r="M1462" s="3">
        <v>0.68</v>
      </c>
    </row>
    <row r="1463" spans="1:13">
      <c r="A1463" s="8" t="s">
        <v>1474</v>
      </c>
      <c r="B1463" s="2">
        <f>HYPERLINK("https://www.suredividend.com/sure-analysis-research-database/","TheRealReal, Inc.")</f>
        <v>0</v>
      </c>
      <c r="C1463" s="1" t="s">
        <v>1963</v>
      </c>
      <c r="D1463" s="3">
        <v>16.71</v>
      </c>
      <c r="F1463" s="4">
        <v>0</v>
      </c>
      <c r="G1463" s="3">
        <v>0</v>
      </c>
      <c r="H1463" s="5">
        <v>1934.601603</v>
      </c>
      <c r="J1463" s="4">
        <v>0</v>
      </c>
      <c r="K1463" s="7">
        <v>2.8861</v>
      </c>
      <c r="L1463" s="3">
        <v>17.25</v>
      </c>
      <c r="M1463" s="3">
        <v>4.61</v>
      </c>
    </row>
    <row r="1464" spans="1:13">
      <c r="A1464" s="8" t="s">
        <v>1475</v>
      </c>
      <c r="B1464" s="2">
        <f>HYPERLINK("https://www.suredividend.com/sure-analysis-research-database/","Real Brokerage Inc")</f>
        <v>0</v>
      </c>
      <c r="C1464" s="1" t="s">
        <v>1959</v>
      </c>
      <c r="D1464" s="3">
        <v>3.685</v>
      </c>
      <c r="F1464" s="4">
        <v>0</v>
      </c>
      <c r="G1464" s="3">
        <v>0</v>
      </c>
      <c r="H1464" s="5">
        <v>747.2214760000001</v>
      </c>
      <c r="K1464" s="7">
        <v>1.2502</v>
      </c>
      <c r="L1464" s="3">
        <v>5.65</v>
      </c>
      <c r="M1464" s="3">
        <v>3.39</v>
      </c>
    </row>
    <row r="1465" spans="1:13">
      <c r="A1465" s="8" t="s">
        <v>1476</v>
      </c>
      <c r="B1465" s="2">
        <f>HYPERLINK("https://www.suredividend.com/sure-analysis-research-database/","Chicago Atlantic Real Estate Finance, Inc.")</f>
        <v>0</v>
      </c>
      <c r="C1465" s="1" t="s">
        <v>1959</v>
      </c>
      <c r="D1465" s="3">
        <v>12.5</v>
      </c>
      <c r="E1465" s="4">
        <v>0.15</v>
      </c>
      <c r="F1465" s="4">
        <v>0.12467</v>
      </c>
      <c r="G1465" s="3">
        <v>1.88</v>
      </c>
      <c r="H1465" s="5">
        <v>263.441225</v>
      </c>
      <c r="I1465" s="6">
        <v>7.3643</v>
      </c>
      <c r="J1465" s="4">
        <v>1.207784</v>
      </c>
      <c r="K1465" s="7">
        <v>0.5453</v>
      </c>
      <c r="L1465" s="3">
        <v>14.17</v>
      </c>
      <c r="M1465" s="3">
        <v>11.41</v>
      </c>
    </row>
    <row r="1466" spans="1:13">
      <c r="A1466" s="8" t="s">
        <v>1477</v>
      </c>
      <c r="B1466" s="2">
        <f>HYPERLINK("https://www.suredividend.com/sure-analysis-research-database/","RING ENERGY, INC.")</f>
        <v>0</v>
      </c>
      <c r="C1466" s="1" t="s">
        <v>1969</v>
      </c>
      <c r="D1466" s="3">
        <v>0.98</v>
      </c>
      <c r="F1466" s="4">
        <v>0</v>
      </c>
      <c r="G1466" s="3">
        <v>0</v>
      </c>
      <c r="H1466" s="5">
        <v>203.078713</v>
      </c>
      <c r="J1466" s="4">
        <v>0</v>
      </c>
      <c r="K1466" s="7">
        <v>0.8444</v>
      </c>
      <c r="L1466" s="3">
        <v>1.48</v>
      </c>
      <c r="M1466" s="3">
        <v>0.72</v>
      </c>
    </row>
    <row r="1467" spans="1:13">
      <c r="A1467" s="8" t="s">
        <v>1478</v>
      </c>
      <c r="B1467" s="2">
        <f>HYPERLINK("https://www.suredividend.com/sure-analysis-research-database/","Rekor Systems, Inc.")</f>
        <v>0</v>
      </c>
      <c r="C1467" s="1" t="s">
        <v>1964</v>
      </c>
      <c r="D1467" s="3">
        <v>1.42</v>
      </c>
      <c r="F1467" s="4">
        <v>0</v>
      </c>
      <c r="G1467" s="3">
        <v>0</v>
      </c>
      <c r="H1467" s="5">
        <v>176.098818</v>
      </c>
      <c r="J1467" s="4">
        <v>0</v>
      </c>
      <c r="K1467" s="7">
        <v>2.2215</v>
      </c>
      <c r="L1467" s="3">
        <v>3.42</v>
      </c>
      <c r="M1467" s="3">
        <v>0.62</v>
      </c>
    </row>
    <row r="1468" spans="1:13">
      <c r="A1468" s="8" t="s">
        <v>1479</v>
      </c>
      <c r="B1468" s="2">
        <f>HYPERLINK("https://www.suredividend.com/sure-analysis-research-database/","RICHARDSON ELECTRONICS, LTD.")</f>
        <v>0</v>
      </c>
      <c r="C1468" s="1" t="s">
        <v>1960</v>
      </c>
      <c r="D1468" s="3">
        <v>10.74</v>
      </c>
      <c r="E1468" s="4">
        <v>0.02</v>
      </c>
      <c r="F1468" s="4">
        <v>0.02055</v>
      </c>
      <c r="G1468" s="3">
        <v>0.24</v>
      </c>
      <c r="H1468" s="5">
        <v>157.664633</v>
      </c>
      <c r="I1468" s="6">
        <v>195.6137</v>
      </c>
      <c r="J1468" s="4">
        <v>4.243176</v>
      </c>
      <c r="K1468" s="7">
        <v>0.7241</v>
      </c>
      <c r="L1468" s="3">
        <v>13.56</v>
      </c>
      <c r="M1468" s="3">
        <v>7.43</v>
      </c>
    </row>
    <row r="1469" spans="1:13">
      <c r="A1469" s="8" t="s">
        <v>1480</v>
      </c>
      <c r="B1469" s="2">
        <f>HYPERLINK("https://www.suredividend.com/sure-analysis-research-database/","Remitly Global, Inc.")</f>
        <v>0</v>
      </c>
      <c r="C1469" s="1" t="s">
        <v>1959</v>
      </c>
      <c r="D1469" s="3">
        <v>14.15</v>
      </c>
      <c r="F1469" s="4">
        <v>0</v>
      </c>
      <c r="G1469" s="3">
        <v>0</v>
      </c>
      <c r="H1469" s="5">
        <v>2957.999924</v>
      </c>
      <c r="I1469" s="6">
        <v>140.9041</v>
      </c>
      <c r="J1469" s="4">
        <v>0</v>
      </c>
      <c r="K1469" s="7">
        <v>0.4468</v>
      </c>
      <c r="L1469" s="3">
        <v>27.32</v>
      </c>
      <c r="M1469" s="3">
        <v>12.08</v>
      </c>
    </row>
    <row r="1470" spans="1:13">
      <c r="A1470" s="8" t="s">
        <v>1481</v>
      </c>
      <c r="B1470" s="2">
        <f>HYPERLINK("https://www.suredividend.com/sure-analysis-research-database/","Enochian Biosciences Inc")</f>
        <v>0</v>
      </c>
      <c r="C1470" s="1" t="s">
        <v>1959</v>
      </c>
      <c r="D1470" s="3">
        <v>0.824</v>
      </c>
      <c r="F1470" s="4">
        <v>0</v>
      </c>
      <c r="G1470" s="3">
        <v>0</v>
      </c>
      <c r="H1470" s="5">
        <v>19.685552</v>
      </c>
      <c r="J1470" s="4">
        <v>0</v>
      </c>
      <c r="K1470" s="7">
        <v>2.2234</v>
      </c>
      <c r="L1470" s="3">
        <v>1.66</v>
      </c>
      <c r="M1470" s="3">
        <v>0.12</v>
      </c>
    </row>
    <row r="1471" spans="1:13">
      <c r="A1471" s="8" t="s">
        <v>1482</v>
      </c>
      <c r="B1471" s="2">
        <f>HYPERLINK("https://www.suredividend.com/sure-analysis-research-database/","Replimune Group, Inc.")</f>
        <v>0</v>
      </c>
      <c r="C1471" s="1" t="s">
        <v>1965</v>
      </c>
      <c r="D1471" s="3">
        <v>7.28</v>
      </c>
      <c r="F1471" s="4">
        <v>0</v>
      </c>
      <c r="G1471" s="3">
        <v>0</v>
      </c>
      <c r="H1471" s="5">
        <v>569.498605</v>
      </c>
      <c r="J1471" s="4">
        <v>0</v>
      </c>
      <c r="K1471" s="7">
        <v>0.9152</v>
      </c>
      <c r="L1471" s="3">
        <v>14.8</v>
      </c>
      <c r="M1471" s="3">
        <v>2.68</v>
      </c>
    </row>
    <row r="1472" spans="1:13">
      <c r="A1472" s="8" t="s">
        <v>1483</v>
      </c>
      <c r="B1472" s="2">
        <f>HYPERLINK("https://www.suredividend.com/sure-analysis-research-database/","Riley Exploration Permian, Inc.")</f>
        <v>0</v>
      </c>
      <c r="C1472" s="1" t="s">
        <v>1959</v>
      </c>
      <c r="D1472" s="3">
        <v>27</v>
      </c>
      <c r="E1472" s="4">
        <v>0.06</v>
      </c>
      <c r="F1472" s="4">
        <v>0.05373</v>
      </c>
      <c r="G1472" s="3">
        <v>1.54</v>
      </c>
      <c r="H1472" s="5">
        <v>596.895176</v>
      </c>
      <c r="I1472" s="6">
        <v>6.9108</v>
      </c>
      <c r="J1472" s="4">
        <v>0.380128</v>
      </c>
      <c r="K1472" s="7">
        <v>1.0086</v>
      </c>
      <c r="L1472" s="3">
        <v>34.57</v>
      </c>
      <c r="M1472" s="3">
        <v>20.74</v>
      </c>
    </row>
    <row r="1473" spans="1:13">
      <c r="A1473" s="8" t="s">
        <v>1484</v>
      </c>
      <c r="B1473" s="2">
        <f>HYPERLINK("https://www.suredividend.com/sure-analysis-research-database/","RPC INC")</f>
        <v>0</v>
      </c>
      <c r="C1473" s="1" t="s">
        <v>1969</v>
      </c>
      <c r="D1473" s="3">
        <v>6.37</v>
      </c>
      <c r="E1473" s="4">
        <v>0.03</v>
      </c>
      <c r="F1473" s="4">
        <v>0.01837</v>
      </c>
      <c r="G1473" s="3">
        <v>0.16</v>
      </c>
      <c r="H1473" s="5">
        <v>1405.059406</v>
      </c>
      <c r="I1473" s="6">
        <v>29.3313</v>
      </c>
      <c r="J1473" s="4">
        <v>0.729579</v>
      </c>
      <c r="K1473" s="7">
        <v>0.9166</v>
      </c>
      <c r="L1473" s="3">
        <v>6.87</v>
      </c>
      <c r="M1473" s="3">
        <v>4</v>
      </c>
    </row>
    <row r="1474" spans="1:13">
      <c r="A1474" s="8" t="s">
        <v>1485</v>
      </c>
      <c r="B1474" s="2">
        <f>HYPERLINK("https://www.suredividend.com/sure-analysis-research-database/","REV Group, Inc.")</f>
        <v>0</v>
      </c>
      <c r="C1474" s="1" t="s">
        <v>1964</v>
      </c>
      <c r="D1474" s="3">
        <v>68.11</v>
      </c>
      <c r="F1474" s="4">
        <v>0.01213</v>
      </c>
      <c r="G1474" s="3">
        <v>0.24</v>
      </c>
      <c r="H1474" s="5">
        <v>3312.961123</v>
      </c>
      <c r="I1474" s="6">
        <v>34.8</v>
      </c>
      <c r="J1474" s="4">
        <v>0.135504</v>
      </c>
      <c r="K1474" s="7">
        <v>1.1858</v>
      </c>
      <c r="L1474" s="3">
        <v>69.52</v>
      </c>
      <c r="M1474" s="3">
        <v>26.37</v>
      </c>
    </row>
    <row r="1475" spans="1:13">
      <c r="A1475" s="8" t="s">
        <v>1486</v>
      </c>
      <c r="B1475" s="2">
        <f>HYPERLINK("https://www.suredividend.com/sure-analysis-research-database/","REX AMERICAN RESOURCES Corp")</f>
        <v>0</v>
      </c>
      <c r="C1475" s="1" t="s">
        <v>1969</v>
      </c>
      <c r="D1475" s="3">
        <v>34.96</v>
      </c>
      <c r="F1475" s="4">
        <v>0</v>
      </c>
      <c r="G1475" s="3">
        <v>0</v>
      </c>
      <c r="H1475" s="5">
        <v>1152.490753</v>
      </c>
      <c r="I1475" s="6">
        <v>18.9134</v>
      </c>
      <c r="K1475" s="7">
        <v>0.7039</v>
      </c>
      <c r="L1475" s="3">
        <v>36.5</v>
      </c>
      <c r="M1475" s="3">
        <v>16.73</v>
      </c>
    </row>
    <row r="1476" spans="1:13">
      <c r="A1476" s="8" t="s">
        <v>1487</v>
      </c>
      <c r="B1476" s="2">
        <f>HYPERLINK("https://www.suredividend.com/sure-analysis-research-database/","RESIDEO TECHNOLOGIES, INC.")</f>
        <v>0</v>
      </c>
      <c r="C1476" s="1" t="s">
        <v>1964</v>
      </c>
      <c r="D1476" s="3">
        <v>36.51</v>
      </c>
      <c r="F1476" s="4">
        <v>0</v>
      </c>
      <c r="G1476" s="3">
        <v>0</v>
      </c>
      <c r="H1476" s="5">
        <v>5464.595456</v>
      </c>
      <c r="K1476" s="7">
        <v>1.6936</v>
      </c>
      <c r="L1476" s="3">
        <v>45.29</v>
      </c>
      <c r="M1476" s="3">
        <v>14.18</v>
      </c>
    </row>
    <row r="1477" spans="1:13">
      <c r="A1477" s="8" t="s">
        <v>1488</v>
      </c>
      <c r="B1477" s="2">
        <f>HYPERLINK("https://www.suredividend.com/sure-analysis-RGCO/","RGC RESOURCES INC")</f>
        <v>0</v>
      </c>
      <c r="C1477" s="1" t="s">
        <v>1967</v>
      </c>
      <c r="D1477" s="3">
        <v>21.96</v>
      </c>
      <c r="E1477" s="4">
        <v>0.03961748633879781</v>
      </c>
      <c r="F1477" s="4">
        <v>0.03736</v>
      </c>
      <c r="G1477" s="3">
        <v>0.84</v>
      </c>
      <c r="H1477" s="5">
        <v>227.297661</v>
      </c>
      <c r="K1477" s="7">
        <v>0.6546</v>
      </c>
      <c r="L1477" s="3">
        <v>23.54</v>
      </c>
      <c r="M1477" s="3">
        <v>18.76</v>
      </c>
    </row>
    <row r="1478" spans="1:13">
      <c r="A1478" s="8" t="s">
        <v>1489</v>
      </c>
      <c r="B1478" s="2">
        <f>HYPERLINK("https://www.suredividend.com/sure-analysis-research-database/","Regulus Therapeutics Inc.")</f>
        <v>0</v>
      </c>
      <c r="C1478" s="1" t="s">
        <v>1965</v>
      </c>
      <c r="D1478" s="3">
        <v>0</v>
      </c>
      <c r="F1478" s="4">
        <v>0</v>
      </c>
      <c r="G1478" s="3">
        <v>0</v>
      </c>
      <c r="H1478" s="5">
        <v>564.950166</v>
      </c>
      <c r="J1478" s="4">
        <v>0</v>
      </c>
      <c r="K1478" s="7">
        <v>1.4425</v>
      </c>
    </row>
    <row r="1479" spans="1:13">
      <c r="A1479" s="8" t="s">
        <v>1490</v>
      </c>
      <c r="B1479" s="2">
        <f>HYPERLINK("https://www.suredividend.com/sure-analysis-research-database/","REGENXBIO Inc.")</f>
        <v>0</v>
      </c>
      <c r="C1479" s="1" t="s">
        <v>1965</v>
      </c>
      <c r="D1479" s="3">
        <v>15.2</v>
      </c>
      <c r="F1479" s="4">
        <v>0</v>
      </c>
      <c r="G1479" s="3">
        <v>0</v>
      </c>
      <c r="H1479" s="5">
        <v>760.358752</v>
      </c>
      <c r="J1479" s="4">
        <v>0</v>
      </c>
      <c r="K1479" s="7">
        <v>2.1059</v>
      </c>
      <c r="L1479" s="3">
        <v>15.84</v>
      </c>
      <c r="M1479" s="3">
        <v>5.04</v>
      </c>
    </row>
    <row r="1480" spans="1:13">
      <c r="A1480" s="8" t="s">
        <v>1491</v>
      </c>
      <c r="B1480" s="2">
        <f>HYPERLINK("https://www.suredividend.com/sure-analysis-research-database/","RESOURCES CONNECTION, INC.")</f>
        <v>0</v>
      </c>
      <c r="C1480" s="1" t="s">
        <v>1964</v>
      </c>
      <c r="D1480" s="3">
        <v>4.43</v>
      </c>
      <c r="E1480" s="4">
        <v>0.08</v>
      </c>
      <c r="F1480" s="4">
        <v>0.09923</v>
      </c>
      <c r="G1480" s="3">
        <v>0.35</v>
      </c>
      <c r="H1480" s="5">
        <v>147.744499</v>
      </c>
      <c r="K1480" s="7">
        <v>1.0876</v>
      </c>
      <c r="L1480" s="3">
        <v>8.27</v>
      </c>
      <c r="M1480" s="3">
        <v>4.06</v>
      </c>
    </row>
    <row r="1481" spans="1:13">
      <c r="A1481" s="8" t="s">
        <v>1492</v>
      </c>
      <c r="B1481" s="2">
        <f>HYPERLINK("https://www.suredividend.com/sure-analysis-research-database/","STURM RUGER &amp; CO INC")</f>
        <v>0</v>
      </c>
      <c r="C1481" s="1" t="s">
        <v>1964</v>
      </c>
      <c r="D1481" s="3">
        <v>37.92</v>
      </c>
      <c r="E1481" s="4">
        <v>0.02</v>
      </c>
      <c r="F1481" s="4">
        <v>0.07621</v>
      </c>
      <c r="G1481" s="3">
        <v>0.62</v>
      </c>
      <c r="H1481" s="5">
        <v>620.1952659999999</v>
      </c>
      <c r="I1481" s="6">
        <v>238.4449</v>
      </c>
      <c r="J1481" s="4">
        <v>4.353326</v>
      </c>
      <c r="K1481" s="7">
        <v>0.1817</v>
      </c>
      <c r="L1481" s="3">
        <v>48.15</v>
      </c>
      <c r="M1481" s="3">
        <v>28.33</v>
      </c>
    </row>
    <row r="1482" spans="1:13">
      <c r="A1482" s="8" t="s">
        <v>1493</v>
      </c>
      <c r="B1482" s="2">
        <f>HYPERLINK("https://www.suredividend.com/sure-analysis-research-database/","Rigetti Computing, Inc.")</f>
        <v>0</v>
      </c>
      <c r="C1482" s="1" t="s">
        <v>1959</v>
      </c>
      <c r="D1482" s="3">
        <v>24.34</v>
      </c>
      <c r="F1482" s="4">
        <v>0</v>
      </c>
      <c r="G1482" s="3">
        <v>0</v>
      </c>
      <c r="H1482" s="5">
        <v>7811.717266</v>
      </c>
      <c r="J1482" s="4">
        <v>0</v>
      </c>
      <c r="K1482" s="7">
        <v>2.4281</v>
      </c>
      <c r="L1482" s="3">
        <v>58.15</v>
      </c>
      <c r="M1482" s="3">
        <v>6.86</v>
      </c>
    </row>
    <row r="1483" spans="1:13">
      <c r="A1483" s="8" t="s">
        <v>1494</v>
      </c>
      <c r="B1483" s="2">
        <f>HYPERLINK("https://www.suredividend.com/sure-analysis-research-database/","Resolute Holdings Management Inc.")</f>
        <v>0</v>
      </c>
      <c r="C1483" s="1" t="s">
        <v>1959</v>
      </c>
      <c r="D1483" s="3">
        <v>213.56</v>
      </c>
      <c r="F1483" s="4">
        <v>0</v>
      </c>
      <c r="G1483" s="3">
        <v>0</v>
      </c>
      <c r="H1483" s="5">
        <v>1818.765893</v>
      </c>
      <c r="K1483" s="7">
        <v>1.2893</v>
      </c>
      <c r="L1483" s="3">
        <v>236.19</v>
      </c>
      <c r="M1483" s="3">
        <v>24.22</v>
      </c>
    </row>
    <row r="1484" spans="1:13">
      <c r="A1484" s="8" t="s">
        <v>1495</v>
      </c>
      <c r="B1484" s="2">
        <f>HYPERLINK("https://www.suredividend.com/sure-analysis-research-database/","Ryman Hospitality Properties, Inc.")</f>
        <v>0</v>
      </c>
      <c r="C1484" s="1" t="s">
        <v>1961</v>
      </c>
      <c r="D1484" s="3">
        <v>95.94</v>
      </c>
      <c r="E1484" s="4">
        <v>0.05</v>
      </c>
      <c r="F1484" s="4">
        <v>0.02827</v>
      </c>
      <c r="G1484" s="3">
        <v>4.65</v>
      </c>
      <c r="H1484" s="5">
        <v>6046.500982</v>
      </c>
      <c r="I1484" s="6">
        <v>25.3665</v>
      </c>
      <c r="J1484" s="4">
        <v>1.138113</v>
      </c>
      <c r="K1484" s="7">
        <v>0.8115</v>
      </c>
      <c r="L1484" s="3">
        <v>103.23</v>
      </c>
      <c r="M1484" s="3">
        <v>73.54000000000001</v>
      </c>
    </row>
    <row r="1485" spans="1:13">
      <c r="A1485" s="8" t="s">
        <v>1496</v>
      </c>
      <c r="B1485" s="2">
        <f>HYPERLINK("https://www.suredividend.com/sure-analysis-RICK/","RCI HOSPITALITY HOLDINGS, INC.")</f>
        <v>0</v>
      </c>
      <c r="C1485" s="1" t="s">
        <v>1963</v>
      </c>
      <c r="D1485" s="3">
        <v>25.17</v>
      </c>
      <c r="E1485" s="4">
        <v>0.011124354390147</v>
      </c>
      <c r="F1485" s="4">
        <v>0.009379999999999999</v>
      </c>
      <c r="G1485" s="3">
        <v>0.28</v>
      </c>
      <c r="H1485" s="5">
        <v>219.406799</v>
      </c>
      <c r="I1485" s="6">
        <v>13.2516</v>
      </c>
      <c r="J1485" s="4">
        <v>0.149964</v>
      </c>
      <c r="K1485" s="7">
        <v>0.8218</v>
      </c>
      <c r="L1485" s="3">
        <v>57.53</v>
      </c>
      <c r="M1485" s="3">
        <v>21.82</v>
      </c>
    </row>
    <row r="1486" spans="1:13">
      <c r="A1486" s="8" t="s">
        <v>1497</v>
      </c>
      <c r="B1486" s="2">
        <f>HYPERLINK("https://www.suredividend.com/sure-analysis-research-database/","Transocean Ltd.")</f>
        <v>0</v>
      </c>
      <c r="C1486" s="1" t="s">
        <v>1969</v>
      </c>
      <c r="D1486" s="3">
        <v>4.62</v>
      </c>
      <c r="F1486" s="4">
        <v>0</v>
      </c>
      <c r="G1486" s="3">
        <v>1.64</v>
      </c>
      <c r="H1486" s="5">
        <v>5099.672779</v>
      </c>
      <c r="J1486" s="4">
        <v>0</v>
      </c>
      <c r="K1486" s="7">
        <v>1.4557</v>
      </c>
      <c r="L1486" s="3">
        <v>4.56</v>
      </c>
      <c r="M1486" s="3">
        <v>1.97</v>
      </c>
    </row>
    <row r="1487" spans="1:13">
      <c r="A1487" s="8" t="s">
        <v>1498</v>
      </c>
      <c r="B1487" s="2">
        <f>HYPERLINK("https://www.suredividend.com/sure-analysis-research-database/","RIGEL PHARMACEUTICALS INC")</f>
        <v>0</v>
      </c>
      <c r="C1487" s="1" t="s">
        <v>1965</v>
      </c>
      <c r="D1487" s="3">
        <v>37.7</v>
      </c>
      <c r="F1487" s="4">
        <v>0</v>
      </c>
      <c r="G1487" s="3">
        <v>0</v>
      </c>
      <c r="H1487" s="5">
        <v>683.216588</v>
      </c>
      <c r="I1487" s="6">
        <v>6.0302</v>
      </c>
      <c r="J1487" s="4">
        <v>0</v>
      </c>
      <c r="K1487" s="7">
        <v>1.7706</v>
      </c>
      <c r="L1487" s="3">
        <v>52.24</v>
      </c>
      <c r="M1487" s="3">
        <v>15.5</v>
      </c>
    </row>
    <row r="1488" spans="1:13">
      <c r="A1488" s="8" t="s">
        <v>1499</v>
      </c>
      <c r="B1488" s="2">
        <f>HYPERLINK("https://www.suredividend.com/sure-analysis-research-database/","B. Riley Financial, Inc.")</f>
        <v>0</v>
      </c>
      <c r="C1488" s="1" t="s">
        <v>1962</v>
      </c>
      <c r="D1488" s="3">
        <v>9.57</v>
      </c>
      <c r="F1488" s="4">
        <v>0.60284</v>
      </c>
      <c r="G1488" s="3">
        <v>3</v>
      </c>
      <c r="H1488" s="5">
        <v>292.507951</v>
      </c>
      <c r="K1488" s="7">
        <v>1.1148</v>
      </c>
      <c r="L1488" s="3">
        <v>10.97</v>
      </c>
      <c r="M1488" s="3">
        <v>2.67</v>
      </c>
    </row>
    <row r="1489" spans="1:13">
      <c r="A1489" s="8" t="s">
        <v>1500</v>
      </c>
      <c r="B1489" s="2">
        <f>HYPERLINK("https://www.suredividend.com/sure-analysis-research-database/","Riot Platforms, Inc.")</f>
        <v>0</v>
      </c>
      <c r="C1489" s="1" t="s">
        <v>1960</v>
      </c>
      <c r="D1489" s="3">
        <v>17.54</v>
      </c>
      <c r="F1489" s="4">
        <v>0</v>
      </c>
      <c r="G1489" s="3">
        <v>1</v>
      </c>
      <c r="H1489" s="5">
        <v>6413.673959</v>
      </c>
      <c r="I1489" s="6">
        <v>39.1073</v>
      </c>
      <c r="J1489" s="4">
        <v>0</v>
      </c>
      <c r="K1489" s="7">
        <v>2.702</v>
      </c>
      <c r="L1489" s="3">
        <v>23.94</v>
      </c>
      <c r="M1489" s="3">
        <v>6.19</v>
      </c>
    </row>
    <row r="1490" spans="1:13">
      <c r="A1490" s="8" t="s">
        <v>1501</v>
      </c>
      <c r="B1490" s="2">
        <f>HYPERLINK("https://www.suredividend.com/sure-analysis-research-database/","Rocket Lab USA, Inc.")</f>
        <v>0</v>
      </c>
      <c r="C1490" s="1" t="s">
        <v>1959</v>
      </c>
      <c r="D1490" s="3">
        <v>85.79000000000001</v>
      </c>
      <c r="F1490" s="4">
        <v>0</v>
      </c>
      <c r="G1490" s="3">
        <v>0</v>
      </c>
      <c r="H1490" s="5">
        <v>46909.609164</v>
      </c>
      <c r="J1490" s="4">
        <v>0</v>
      </c>
      <c r="K1490" s="7">
        <v>2.134</v>
      </c>
      <c r="L1490" s="3">
        <v>99.58</v>
      </c>
      <c r="M1490" s="3">
        <v>14.71</v>
      </c>
    </row>
    <row r="1491" spans="1:13">
      <c r="A1491" s="8" t="s">
        <v>1502</v>
      </c>
      <c r="B1491" s="2">
        <f>HYPERLINK("https://www.suredividend.com/sure-analysis-research-database/","Relay Therapeutics, Inc.")</f>
        <v>0</v>
      </c>
      <c r="C1491" s="1" t="s">
        <v>1959</v>
      </c>
      <c r="D1491" s="3">
        <v>7.59</v>
      </c>
      <c r="F1491" s="4">
        <v>0</v>
      </c>
      <c r="G1491" s="3">
        <v>0</v>
      </c>
      <c r="H1491" s="5">
        <v>1306.850783</v>
      </c>
      <c r="J1491" s="4">
        <v>0</v>
      </c>
      <c r="K1491" s="7">
        <v>2.2575</v>
      </c>
      <c r="L1491" s="3">
        <v>9.039999999999999</v>
      </c>
      <c r="M1491" s="3">
        <v>1.78</v>
      </c>
    </row>
    <row r="1492" spans="1:13">
      <c r="A1492" s="8" t="s">
        <v>1503</v>
      </c>
      <c r="B1492" s="2">
        <f>HYPERLINK("https://www.suredividend.com/sure-analysis-research-database/","RADIANT LOGISTICS, INC")</f>
        <v>0</v>
      </c>
      <c r="C1492" s="1" t="s">
        <v>1964</v>
      </c>
      <c r="D1492" s="3">
        <v>6.63</v>
      </c>
      <c r="F1492" s="4">
        <v>0</v>
      </c>
      <c r="G1492" s="3">
        <v>0</v>
      </c>
      <c r="H1492" s="5">
        <v>310.856699</v>
      </c>
      <c r="I1492" s="6">
        <v>48.9076</v>
      </c>
      <c r="J1492" s="4">
        <v>0.09198000000000001</v>
      </c>
      <c r="K1492" s="7">
        <v>1.0756</v>
      </c>
      <c r="L1492" s="3">
        <v>7.94</v>
      </c>
      <c r="M1492" s="3">
        <v>5.44</v>
      </c>
    </row>
    <row r="1493" spans="1:13">
      <c r="A1493" s="8" t="s">
        <v>1504</v>
      </c>
      <c r="B1493" s="2">
        <f>HYPERLINK("https://www.suredividend.com/sure-analysis-research-database/","RLJ Lodging Trust")</f>
        <v>0</v>
      </c>
      <c r="C1493" s="1" t="s">
        <v>1961</v>
      </c>
      <c r="D1493" s="3">
        <v>7.79</v>
      </c>
      <c r="E1493" s="4">
        <v>0.08</v>
      </c>
      <c r="F1493" s="4">
        <v>0.04208</v>
      </c>
      <c r="G1493" s="3">
        <v>0.6</v>
      </c>
      <c r="H1493" s="5">
        <v>1175.441907</v>
      </c>
      <c r="I1493" s="6">
        <v>140.9403</v>
      </c>
      <c r="J1493" s="4">
        <v>3.486842</v>
      </c>
      <c r="K1493" s="7">
        <v>0.9868</v>
      </c>
      <c r="L1493" s="3">
        <v>9.460000000000001</v>
      </c>
      <c r="M1493" s="3">
        <v>5.8</v>
      </c>
    </row>
    <row r="1494" spans="1:13">
      <c r="A1494" s="8" t="s">
        <v>1505</v>
      </c>
      <c r="B1494" s="2">
        <f>HYPERLINK("https://www.suredividend.com/sure-analysis-research-database/","Regional Management Corp.")</f>
        <v>0</v>
      </c>
      <c r="C1494" s="1" t="s">
        <v>1962</v>
      </c>
      <c r="D1494" s="3">
        <v>37.43</v>
      </c>
      <c r="E1494" s="4">
        <v>0.03</v>
      </c>
      <c r="F1494" s="4">
        <v>0.0301</v>
      </c>
      <c r="G1494" s="3">
        <v>1.2</v>
      </c>
      <c r="H1494" s="5">
        <v>364.133059</v>
      </c>
      <c r="I1494" s="6">
        <v>8.8683</v>
      </c>
      <c r="J1494" s="4">
        <v>0.281623</v>
      </c>
      <c r="K1494" s="7">
        <v>1.0039</v>
      </c>
      <c r="L1494" s="3">
        <v>45.63</v>
      </c>
      <c r="M1494" s="3">
        <v>24.74</v>
      </c>
    </row>
    <row r="1495" spans="1:13">
      <c r="A1495" s="8" t="s">
        <v>1506</v>
      </c>
      <c r="B1495" s="2">
        <f>HYPERLINK("https://www.suredividend.com/sure-analysis-research-database/","RE/MAX Holdings, Inc.")</f>
        <v>0</v>
      </c>
      <c r="C1495" s="1" t="s">
        <v>1961</v>
      </c>
      <c r="D1495" s="3">
        <v>8.24</v>
      </c>
      <c r="F1495" s="4">
        <v>0.06546</v>
      </c>
      <c r="G1495" s="3">
        <v>0.92</v>
      </c>
      <c r="H1495" s="5">
        <v>163.258746</v>
      </c>
      <c r="I1495" s="6">
        <v>13.0419</v>
      </c>
      <c r="J1495" s="4">
        <v>0.02326</v>
      </c>
      <c r="K1495" s="7">
        <v>1.3271</v>
      </c>
      <c r="L1495" s="3">
        <v>10.67</v>
      </c>
      <c r="M1495" s="3">
        <v>6.9</v>
      </c>
    </row>
    <row r="1496" spans="1:13">
      <c r="A1496" s="8" t="s">
        <v>1507</v>
      </c>
      <c r="B1496" s="2">
        <f>HYPERLINK("https://www.suredividend.com/sure-analysis-research-database/","RumbleOn Inc.")</f>
        <v>0</v>
      </c>
      <c r="C1496" s="1" t="s">
        <v>1963</v>
      </c>
      <c r="D1496" s="3">
        <v>5.51</v>
      </c>
      <c r="F1496" s="4">
        <v>0</v>
      </c>
      <c r="G1496" s="3">
        <v>0</v>
      </c>
      <c r="H1496" s="5">
        <v>208.990586</v>
      </c>
      <c r="J1496" s="4">
        <v>0</v>
      </c>
      <c r="K1496" s="7">
        <v>2.1892</v>
      </c>
      <c r="L1496" s="3">
        <v>6.58</v>
      </c>
      <c r="M1496" s="3">
        <v>1.46</v>
      </c>
    </row>
    <row r="1497" spans="1:13">
      <c r="A1497" s="8" t="s">
        <v>1508</v>
      </c>
      <c r="B1497" s="2">
        <f>HYPERLINK("https://www.suredividend.com/sure-analysis-research-database/","RAMBUS INC")</f>
        <v>0</v>
      </c>
      <c r="C1497" s="1" t="s">
        <v>1960</v>
      </c>
      <c r="D1497" s="3">
        <v>130.8</v>
      </c>
      <c r="F1497" s="4">
        <v>0</v>
      </c>
      <c r="G1497" s="3">
        <v>0</v>
      </c>
      <c r="H1497" s="5">
        <v>13556.381249</v>
      </c>
      <c r="I1497" s="6">
        <v>59.2455</v>
      </c>
      <c r="J1497" s="4">
        <v>0</v>
      </c>
      <c r="K1497" s="7">
        <v>1.917</v>
      </c>
      <c r="L1497" s="3">
        <v>114.55</v>
      </c>
      <c r="M1497" s="3">
        <v>40.12</v>
      </c>
    </row>
    <row r="1498" spans="1:13">
      <c r="A1498" s="8" t="s">
        <v>1509</v>
      </c>
      <c r="B1498" s="2">
        <f>HYPERLINK("https://www.suredividend.com/sure-analysis-research-database/","Rimini Street, Inc.")</f>
        <v>0</v>
      </c>
      <c r="C1498" s="1" t="s">
        <v>1960</v>
      </c>
      <c r="D1498" s="3">
        <v>3.67</v>
      </c>
      <c r="F1498" s="4">
        <v>0</v>
      </c>
      <c r="G1498" s="3">
        <v>0</v>
      </c>
      <c r="H1498" s="5">
        <v>337.64736</v>
      </c>
      <c r="I1498" s="6">
        <v>7.8462</v>
      </c>
      <c r="J1498" s="4">
        <v>0</v>
      </c>
      <c r="K1498" s="7">
        <v>1.059</v>
      </c>
      <c r="L1498" s="3">
        <v>5.38</v>
      </c>
      <c r="M1498" s="3">
        <v>2.73</v>
      </c>
    </row>
    <row r="1499" spans="1:13">
      <c r="A1499" s="8" t="s">
        <v>1510</v>
      </c>
      <c r="B1499" s="2">
        <f>HYPERLINK("https://www.suredividend.com/sure-analysis-research-database/","RMR GROUP INC.")</f>
        <v>0</v>
      </c>
      <c r="C1499" s="1" t="s">
        <v>1961</v>
      </c>
      <c r="D1499" s="3">
        <v>16.46</v>
      </c>
      <c r="E1499" s="4">
        <v>0.11</v>
      </c>
      <c r="F1499" s="4">
        <v>0.19328</v>
      </c>
      <c r="G1499" s="3">
        <v>1.8</v>
      </c>
      <c r="H1499" s="5">
        <v>528.051242</v>
      </c>
      <c r="I1499" s="6">
        <v>30.0097</v>
      </c>
      <c r="J1499" s="4">
        <v>1.597689</v>
      </c>
      <c r="K1499" s="7">
        <v>0.8025</v>
      </c>
      <c r="L1499" s="3">
        <v>17.94</v>
      </c>
      <c r="M1499" s="3">
        <v>12.74</v>
      </c>
    </row>
    <row r="1500" spans="1:13">
      <c r="A1500" s="8" t="s">
        <v>1511</v>
      </c>
      <c r="B1500" s="2">
        <f>HYPERLINK("https://www.suredividend.com/sure-analysis-research-database/","Avidity Biosciences, Inc.")</f>
        <v>0</v>
      </c>
      <c r="C1500" s="1" t="s">
        <v>1959</v>
      </c>
      <c r="D1500" s="3">
        <v>72.645</v>
      </c>
      <c r="F1500" s="4">
        <v>0</v>
      </c>
      <c r="G1500" s="3">
        <v>0</v>
      </c>
      <c r="H1500" s="5">
        <v>10946.592656</v>
      </c>
      <c r="J1500" s="4">
        <v>0</v>
      </c>
      <c r="K1500" s="7">
        <v>1.5876</v>
      </c>
      <c r="L1500" s="3">
        <v>72.7</v>
      </c>
      <c r="M1500" s="3">
        <v>21.51</v>
      </c>
    </row>
    <row r="1501" spans="1:13">
      <c r="A1501" s="8" t="s">
        <v>1512</v>
      </c>
      <c r="B1501" s="2">
        <f>HYPERLINK("https://www.suredividend.com/sure-analysis-research-database/","Cartesian Therapeutics, Inc.")</f>
        <v>0</v>
      </c>
      <c r="C1501" s="1" t="s">
        <v>1959</v>
      </c>
      <c r="D1501" s="3">
        <v>7.7</v>
      </c>
      <c r="F1501" s="4">
        <v>0</v>
      </c>
      <c r="G1501" s="3">
        <v>0</v>
      </c>
      <c r="H1501" s="5">
        <v>198.66755</v>
      </c>
      <c r="J1501" s="4">
        <v>0</v>
      </c>
      <c r="K1501" s="7">
        <v>1.8721</v>
      </c>
      <c r="L1501" s="3">
        <v>20</v>
      </c>
      <c r="M1501" s="3">
        <v>5.98</v>
      </c>
    </row>
    <row r="1502" spans="1:13">
      <c r="A1502" s="8" t="s">
        <v>1513</v>
      </c>
      <c r="B1502" s="2">
        <f>HYPERLINK("https://www.suredividend.com/sure-analysis-research-database/","Ranger Energy Services, Inc.")</f>
        <v>0</v>
      </c>
      <c r="C1502" s="1" t="s">
        <v>1969</v>
      </c>
      <c r="D1502" s="3">
        <v>15</v>
      </c>
      <c r="E1502" s="4">
        <v>0.02</v>
      </c>
      <c r="F1502" s="4">
        <v>0.00779</v>
      </c>
      <c r="G1502" s="3">
        <v>0.24</v>
      </c>
      <c r="H1502" s="5">
        <v>324.853716</v>
      </c>
      <c r="I1502" s="6">
        <v>21.8023</v>
      </c>
      <c r="J1502" s="4">
        <v>0.348993</v>
      </c>
      <c r="K1502" s="7">
        <v>0.6467000000000001</v>
      </c>
      <c r="L1502" s="3">
        <v>18.1</v>
      </c>
      <c r="M1502" s="3">
        <v>10.41</v>
      </c>
    </row>
    <row r="1503" spans="1:13">
      <c r="A1503" s="8" t="s">
        <v>1514</v>
      </c>
      <c r="B1503" s="2">
        <f>HYPERLINK("https://www.suredividend.com/sure-analysis-research-database/","RENASANT CORP")</f>
        <v>0</v>
      </c>
      <c r="C1503" s="1" t="s">
        <v>1962</v>
      </c>
      <c r="D1503" s="3">
        <v>37.96</v>
      </c>
      <c r="E1503" s="4">
        <v>0.02</v>
      </c>
      <c r="F1503" s="4">
        <v>0.02441</v>
      </c>
      <c r="G1503" s="3">
        <v>0.89</v>
      </c>
      <c r="H1503" s="5">
        <v>3607.961875</v>
      </c>
      <c r="I1503" s="6">
        <v>24.5321</v>
      </c>
      <c r="J1503" s="4">
        <v>0.481366</v>
      </c>
      <c r="K1503" s="7">
        <v>1.0471</v>
      </c>
      <c r="L1503" s="3">
        <v>39.92</v>
      </c>
      <c r="M1503" s="3">
        <v>26.48</v>
      </c>
    </row>
    <row r="1504" spans="1:13">
      <c r="A1504" s="8" t="s">
        <v>1515</v>
      </c>
      <c r="B1504" s="2">
        <f>HYPERLINK("https://www.suredividend.com/sure-analysis-research-database/","Construction Partners, Inc.")</f>
        <v>0</v>
      </c>
      <c r="C1504" s="1" t="s">
        <v>1964</v>
      </c>
      <c r="D1504" s="3">
        <v>112.28</v>
      </c>
      <c r="F1504" s="4">
        <v>0</v>
      </c>
      <c r="G1504" s="3">
        <v>0</v>
      </c>
      <c r="H1504" s="5">
        <v>6299.892579</v>
      </c>
      <c r="I1504" s="6">
        <v>63.8623</v>
      </c>
      <c r="J1504" s="4">
        <v>0</v>
      </c>
      <c r="K1504" s="7">
        <v>1.4026</v>
      </c>
      <c r="L1504" s="3">
        <v>138.9</v>
      </c>
      <c r="M1504" s="3">
        <v>64.79000000000001</v>
      </c>
    </row>
    <row r="1505" spans="1:13">
      <c r="A1505" s="8" t="s">
        <v>1516</v>
      </c>
      <c r="B1505" s="2">
        <f>HYPERLINK("https://www.suredividend.com/sure-analysis-research-database/","GIBRALTAR INDUSTRIES, INC.")</f>
        <v>0</v>
      </c>
      <c r="C1505" s="1" t="s">
        <v>1964</v>
      </c>
      <c r="D1505" s="3">
        <v>48.25</v>
      </c>
      <c r="F1505" s="4">
        <v>0</v>
      </c>
      <c r="G1505" s="3">
        <v>0.2</v>
      </c>
      <c r="H1505" s="5">
        <v>1428.978561</v>
      </c>
      <c r="I1505" s="6">
        <v>338.7811</v>
      </c>
      <c r="J1505" s="4">
        <v>0</v>
      </c>
      <c r="K1505" s="7">
        <v>1.2227</v>
      </c>
      <c r="L1505" s="3">
        <v>75.08</v>
      </c>
      <c r="M1505" s="3">
        <v>42.86</v>
      </c>
    </row>
    <row r="1506" spans="1:13">
      <c r="A1506" s="8" t="s">
        <v>1517</v>
      </c>
      <c r="B1506" s="2">
        <f>HYPERLINK("https://www.suredividend.com/sure-analysis-research-database/","ROGERS CORP")</f>
        <v>0</v>
      </c>
      <c r="C1506" s="1" t="s">
        <v>1960</v>
      </c>
      <c r="D1506" s="3">
        <v>100</v>
      </c>
      <c r="F1506" s="4">
        <v>0</v>
      </c>
      <c r="G1506" s="3">
        <v>0.03</v>
      </c>
      <c r="H1506" s="5">
        <v>1804.56463</v>
      </c>
      <c r="J1506" s="4">
        <v>0</v>
      </c>
      <c r="K1506" s="7">
        <v>1.0621</v>
      </c>
      <c r="L1506" s="3">
        <v>102.29</v>
      </c>
      <c r="M1506" s="3">
        <v>51.43</v>
      </c>
    </row>
    <row r="1507" spans="1:13">
      <c r="A1507" s="8" t="s">
        <v>1518</v>
      </c>
      <c r="B1507" s="2">
        <f>HYPERLINK("https://www.suredividend.com/sure-analysis-research-database/","Root, Inc.")</f>
        <v>0</v>
      </c>
      <c r="C1507" s="1" t="s">
        <v>1959</v>
      </c>
      <c r="D1507" s="3">
        <v>68.83</v>
      </c>
      <c r="F1507" s="4">
        <v>0</v>
      </c>
      <c r="G1507" s="3">
        <v>0</v>
      </c>
      <c r="H1507" s="5">
        <v>1053.368631</v>
      </c>
      <c r="I1507" s="6">
        <v>19.3279</v>
      </c>
      <c r="J1507" s="4">
        <v>0</v>
      </c>
      <c r="K1507" s="7">
        <v>1.3747</v>
      </c>
      <c r="L1507" s="3">
        <v>181.14</v>
      </c>
      <c r="M1507" s="3">
        <v>68.08</v>
      </c>
    </row>
    <row r="1508" spans="1:13">
      <c r="A1508" s="8" t="s">
        <v>1519</v>
      </c>
      <c r="B1508" s="2">
        <f>HYPERLINK("https://www.suredividend.com/sure-analysis-research-database/","Repay Holdings Corp")</f>
        <v>0</v>
      </c>
      <c r="C1508" s="1" t="s">
        <v>1960</v>
      </c>
      <c r="D1508" s="3">
        <v>3.51</v>
      </c>
      <c r="F1508" s="4">
        <v>0</v>
      </c>
      <c r="G1508" s="3">
        <v>0</v>
      </c>
      <c r="H1508" s="5">
        <v>302.078438</v>
      </c>
      <c r="J1508" s="4">
        <v>0</v>
      </c>
      <c r="K1508" s="7">
        <v>1.3316</v>
      </c>
      <c r="L1508" s="3">
        <v>7.84</v>
      </c>
      <c r="M1508" s="3">
        <v>2.98</v>
      </c>
    </row>
    <row r="1509" spans="1:13">
      <c r="A1509" s="8" t="s">
        <v>1520</v>
      </c>
      <c r="B1509" s="2">
        <f>HYPERLINK("https://www.suredividend.com/sure-analysis-research-database/","Rapid7, Inc.")</f>
        <v>0</v>
      </c>
      <c r="C1509" s="1" t="s">
        <v>1960</v>
      </c>
      <c r="D1509" s="3">
        <v>12.69</v>
      </c>
      <c r="F1509" s="4">
        <v>0</v>
      </c>
      <c r="G1509" s="3">
        <v>0</v>
      </c>
      <c r="H1509" s="5">
        <v>823.093354</v>
      </c>
      <c r="I1509" s="6">
        <v>36.7059</v>
      </c>
      <c r="J1509" s="4">
        <v>0</v>
      </c>
      <c r="K1509" s="7">
        <v>1.3677</v>
      </c>
      <c r="L1509" s="3">
        <v>40.25</v>
      </c>
      <c r="M1509" s="3">
        <v>12.25</v>
      </c>
    </row>
    <row r="1510" spans="1:13">
      <c r="A1510" s="8" t="s">
        <v>1521</v>
      </c>
      <c r="B1510" s="2">
        <f>HYPERLINK("https://www.suredividend.com/sure-analysis-research-database/","RED RIVER BANCSHARES INC")</f>
        <v>0</v>
      </c>
      <c r="C1510" s="1" t="s">
        <v>1962</v>
      </c>
      <c r="D1510" s="3">
        <v>79.31</v>
      </c>
      <c r="E1510" s="4">
        <v>0.01</v>
      </c>
      <c r="F1510" s="4">
        <v>0.00491</v>
      </c>
      <c r="G1510" s="3">
        <v>0.54</v>
      </c>
      <c r="H1510" s="5">
        <v>535.596395</v>
      </c>
      <c r="I1510" s="6">
        <v>13.1742</v>
      </c>
      <c r="J1510" s="4">
        <v>0.078982</v>
      </c>
      <c r="K1510" s="7">
        <v>0.6768</v>
      </c>
      <c r="L1510" s="3">
        <v>78.01000000000001</v>
      </c>
      <c r="M1510" s="3">
        <v>46.02</v>
      </c>
    </row>
    <row r="1511" spans="1:13">
      <c r="A1511" s="8" t="s">
        <v>1522</v>
      </c>
      <c r="B1511" s="2">
        <f>HYPERLINK("https://www.suredividend.com/sure-analysis-research-database/","Red Rock Resorts, Inc.")</f>
        <v>0</v>
      </c>
      <c r="C1511" s="1" t="s">
        <v>1963</v>
      </c>
      <c r="D1511" s="3">
        <v>62.11</v>
      </c>
      <c r="E1511" s="4">
        <v>0.03</v>
      </c>
      <c r="F1511" s="4">
        <v>0.03224</v>
      </c>
      <c r="G1511" s="3">
        <v>2.01</v>
      </c>
      <c r="H1511" s="5">
        <v>6581.027856</v>
      </c>
      <c r="I1511" s="6">
        <v>34.6379</v>
      </c>
      <c r="J1511" s="4">
        <v>0.67705</v>
      </c>
      <c r="K1511" s="7">
        <v>1.0115</v>
      </c>
      <c r="L1511" s="3">
        <v>64.69</v>
      </c>
      <c r="M1511" s="3">
        <v>33.89</v>
      </c>
    </row>
    <row r="1512" spans="1:13">
      <c r="A1512" s="8" t="s">
        <v>1523</v>
      </c>
      <c r="B1512" s="2">
        <f>HYPERLINK("https://www.suredividend.com/sure-analysis-research-database/","Rush Street Interactive, Inc.")</f>
        <v>0</v>
      </c>
      <c r="C1512" s="1" t="s">
        <v>1959</v>
      </c>
      <c r="D1512" s="3">
        <v>18.48</v>
      </c>
      <c r="F1512" s="4">
        <v>0</v>
      </c>
      <c r="G1512" s="3">
        <v>0</v>
      </c>
      <c r="H1512" s="5">
        <v>4239.548027</v>
      </c>
      <c r="I1512" s="6">
        <v>140.9096</v>
      </c>
      <c r="J1512" s="4">
        <v>0</v>
      </c>
      <c r="K1512" s="7">
        <v>1.3277</v>
      </c>
      <c r="L1512" s="3">
        <v>22.65</v>
      </c>
      <c r="M1512" s="3">
        <v>9.539999999999999</v>
      </c>
    </row>
    <row r="1513" spans="1:13">
      <c r="A1513" s="8" t="s">
        <v>1524</v>
      </c>
      <c r="B1513" s="2">
        <f>HYPERLINK("https://www.suredividend.com/sure-analysis-research-database/","Reservoir Media, Inc.")</f>
        <v>0</v>
      </c>
      <c r="C1513" s="1" t="s">
        <v>1959</v>
      </c>
      <c r="D1513" s="3">
        <v>7.52</v>
      </c>
      <c r="F1513" s="4">
        <v>0</v>
      </c>
      <c r="G1513" s="3">
        <v>0</v>
      </c>
      <c r="H1513" s="5">
        <v>492.567555</v>
      </c>
      <c r="I1513" s="6">
        <v>196.3391</v>
      </c>
      <c r="J1513" s="4">
        <v>0</v>
      </c>
      <c r="K1513" s="7">
        <v>0.7475000000000001</v>
      </c>
      <c r="L1513" s="3">
        <v>8.94</v>
      </c>
      <c r="M1513" s="3">
        <v>6.56</v>
      </c>
    </row>
    <row r="1514" spans="1:13">
      <c r="A1514" s="8" t="s">
        <v>1525</v>
      </c>
      <c r="B1514" s="2">
        <f>HYPERLINK("https://www.suredividend.com/sure-analysis-research-database/","Sunrun Inc.")</f>
        <v>0</v>
      </c>
      <c r="C1514" s="1" t="s">
        <v>1960</v>
      </c>
      <c r="D1514" s="3">
        <v>18.02</v>
      </c>
      <c r="F1514" s="4">
        <v>0</v>
      </c>
      <c r="G1514" s="3">
        <v>0</v>
      </c>
      <c r="H1514" s="5">
        <v>4134.985339</v>
      </c>
      <c r="K1514" s="7">
        <v>2.1754</v>
      </c>
      <c r="L1514" s="3">
        <v>22.44</v>
      </c>
      <c r="M1514" s="3">
        <v>5.38</v>
      </c>
    </row>
    <row r="1515" spans="1:13">
      <c r="A1515" s="8" t="s">
        <v>1526</v>
      </c>
      <c r="B1515" s="2">
        <f>HYPERLINK("https://www.suredividend.com/sure-analysis-RUSHA/","RUSH ENTERPRISES INC \TX\")</f>
        <v>0</v>
      </c>
      <c r="C1515" s="1" t="s">
        <v>1963</v>
      </c>
      <c r="D1515" s="3">
        <v>64.48</v>
      </c>
      <c r="E1515" s="4">
        <v>0.01178660049627792</v>
      </c>
      <c r="F1515" s="4">
        <v>0.01088</v>
      </c>
      <c r="G1515" s="3">
        <v>0.74</v>
      </c>
      <c r="H1515" s="5">
        <v>4923.121598</v>
      </c>
      <c r="I1515" s="6">
        <v>17.9544</v>
      </c>
      <c r="J1515" s="4">
        <v>0.20969</v>
      </c>
      <c r="K1515" s="7">
        <v>1.0249</v>
      </c>
      <c r="L1515" s="3">
        <v>64.51000000000001</v>
      </c>
      <c r="M1515" s="3">
        <v>45.5</v>
      </c>
    </row>
    <row r="1516" spans="1:13">
      <c r="A1516" s="8" t="s">
        <v>1527</v>
      </c>
      <c r="B1516" s="2">
        <f>HYPERLINK("https://www.suredividend.com/sure-analysis-research-database/","RUSH ENTERPRISES INC \TX\")</f>
        <v>0</v>
      </c>
      <c r="C1516" s="1" t="s">
        <v>1963</v>
      </c>
      <c r="D1516" s="3">
        <v>60.66</v>
      </c>
      <c r="E1516" s="4">
        <v>0.01</v>
      </c>
      <c r="F1516" s="4">
        <v>0.0109</v>
      </c>
      <c r="G1516" s="3">
        <v>0.74</v>
      </c>
      <c r="H1516" s="5">
        <v>4923.121598</v>
      </c>
      <c r="I1516" s="6">
        <v>17.9544</v>
      </c>
      <c r="J1516" s="4">
        <v>0.20969</v>
      </c>
      <c r="K1516" s="7">
        <v>1.0288</v>
      </c>
      <c r="L1516" s="3">
        <v>61.53</v>
      </c>
      <c r="M1516" s="3">
        <v>47.71</v>
      </c>
    </row>
    <row r="1517" spans="1:13">
      <c r="A1517" s="8" t="s">
        <v>1528</v>
      </c>
      <c r="B1517" s="2">
        <f>HYPERLINK("https://www.suredividend.com/sure-analysis-research-database/","Revolve Group, Inc.")</f>
        <v>0</v>
      </c>
      <c r="C1517" s="1" t="s">
        <v>1963</v>
      </c>
      <c r="D1517" s="3">
        <v>30.46</v>
      </c>
      <c r="F1517" s="4">
        <v>0</v>
      </c>
      <c r="G1517" s="3">
        <v>0</v>
      </c>
      <c r="H1517" s="5">
        <v>2142.167047</v>
      </c>
      <c r="I1517" s="6">
        <v>38.6011</v>
      </c>
      <c r="J1517" s="4">
        <v>0</v>
      </c>
      <c r="K1517" s="7">
        <v>1.9174</v>
      </c>
      <c r="L1517" s="3">
        <v>33.68</v>
      </c>
      <c r="M1517" s="3">
        <v>16.8</v>
      </c>
    </row>
    <row r="1518" spans="1:13">
      <c r="A1518" s="8" t="s">
        <v>1529</v>
      </c>
      <c r="B1518" s="2">
        <f>HYPERLINK("https://www.suredividend.com/sure-analysis-research-database/","Revolution Medicines, Inc.")</f>
        <v>0</v>
      </c>
      <c r="C1518" s="1" t="s">
        <v>1965</v>
      </c>
      <c r="D1518" s="3">
        <v>118.5</v>
      </c>
      <c r="F1518" s="4">
        <v>0</v>
      </c>
      <c r="G1518" s="3">
        <v>0</v>
      </c>
      <c r="H1518" s="5">
        <v>22720.876682</v>
      </c>
      <c r="J1518" s="4">
        <v>0</v>
      </c>
      <c r="K1518" s="7">
        <v>1.319</v>
      </c>
      <c r="L1518" s="3">
        <v>124.49</v>
      </c>
      <c r="M1518" s="3">
        <v>29.17</v>
      </c>
    </row>
    <row r="1519" spans="1:13">
      <c r="A1519" s="8" t="s">
        <v>1530</v>
      </c>
      <c r="B1519" s="2">
        <f>HYPERLINK("https://www.suredividend.com/sure-analysis-research-database/","REDWOOD TRUST INC")</f>
        <v>0</v>
      </c>
      <c r="C1519" s="1" t="s">
        <v>1961</v>
      </c>
      <c r="D1519" s="3">
        <v>5.69</v>
      </c>
      <c r="E1519" s="4">
        <v>0.13</v>
      </c>
      <c r="F1519" s="4">
        <v>0.13793</v>
      </c>
      <c r="G1519" s="3">
        <v>0.72</v>
      </c>
      <c r="H1519" s="5">
        <v>722.088597</v>
      </c>
      <c r="K1519" s="7">
        <v>1.0414</v>
      </c>
      <c r="L1519" s="3">
        <v>6.07</v>
      </c>
      <c r="M1519" s="3">
        <v>4.25</v>
      </c>
    </row>
    <row r="1520" spans="1:13">
      <c r="A1520" s="8" t="s">
        <v>1531</v>
      </c>
      <c r="B1520" s="2">
        <f>HYPERLINK("https://www.suredividend.com/sure-analysis-research-database/","RXO, Inc.")</f>
        <v>0</v>
      </c>
      <c r="C1520" s="1" t="s">
        <v>1959</v>
      </c>
      <c r="D1520" s="3">
        <v>15.57</v>
      </c>
      <c r="F1520" s="4">
        <v>0</v>
      </c>
      <c r="G1520" s="3">
        <v>0</v>
      </c>
      <c r="H1520" s="5">
        <v>2548.657372</v>
      </c>
      <c r="J1520" s="4">
        <v>0</v>
      </c>
      <c r="K1520" s="7">
        <v>1.6039</v>
      </c>
      <c r="L1520" s="3">
        <v>26.92</v>
      </c>
      <c r="M1520" s="3">
        <v>10.43</v>
      </c>
    </row>
    <row r="1521" spans="1:13">
      <c r="A1521" s="8" t="s">
        <v>1532</v>
      </c>
      <c r="B1521" s="2">
        <f>HYPERLINK("https://www.suredividend.com/sure-analysis-research-database/","RECURSION PHARMACEUTICALS, INC.")</f>
        <v>0</v>
      </c>
      <c r="C1521" s="1" t="s">
        <v>1959</v>
      </c>
      <c r="D1521" s="3">
        <v>4.67</v>
      </c>
      <c r="F1521" s="4">
        <v>0</v>
      </c>
      <c r="G1521" s="3">
        <v>0</v>
      </c>
      <c r="H1521" s="5">
        <v>2400.164857</v>
      </c>
      <c r="J1521" s="4">
        <v>0</v>
      </c>
      <c r="K1521" s="7">
        <v>3.3862</v>
      </c>
      <c r="L1521" s="3">
        <v>12.36</v>
      </c>
      <c r="M1521" s="3">
        <v>3.79</v>
      </c>
    </row>
    <row r="1522" spans="1:13">
      <c r="A1522" s="8" t="s">
        <v>1533</v>
      </c>
      <c r="B1522" s="2">
        <f>HYPERLINK("https://www.suredividend.com/sure-analysis-research-database/","RxSight, Inc.")</f>
        <v>0</v>
      </c>
      <c r="C1522" s="1" t="s">
        <v>1959</v>
      </c>
      <c r="D1522" s="3">
        <v>9.960000000000001</v>
      </c>
      <c r="F1522" s="4">
        <v>0</v>
      </c>
      <c r="G1522" s="3">
        <v>0</v>
      </c>
      <c r="H1522" s="5">
        <v>409.110568</v>
      </c>
      <c r="J1522" s="4">
        <v>0</v>
      </c>
      <c r="K1522" s="7">
        <v>1.2081</v>
      </c>
      <c r="L1522" s="3">
        <v>34.71</v>
      </c>
      <c r="M1522" s="3">
        <v>6.32</v>
      </c>
    </row>
    <row r="1523" spans="1:13">
      <c r="A1523" s="8" t="s">
        <v>1534</v>
      </c>
      <c r="B1523" s="2">
        <f>HYPERLINK("https://www.suredividend.com/sure-analysis-research-database/","Rackspace Technology, Inc.")</f>
        <v>0</v>
      </c>
      <c r="C1523" s="1" t="s">
        <v>1959</v>
      </c>
      <c r="D1523" s="3">
        <v>0.8798</v>
      </c>
      <c r="F1523" s="4">
        <v>0</v>
      </c>
      <c r="G1523" s="3">
        <v>0</v>
      </c>
      <c r="H1523" s="5">
        <v>204.934051</v>
      </c>
      <c r="J1523" s="4">
        <v>0</v>
      </c>
      <c r="K1523" s="7">
        <v>2.1122</v>
      </c>
      <c r="L1523" s="3">
        <v>3.03</v>
      </c>
      <c r="M1523" s="3">
        <v>0.84</v>
      </c>
    </row>
    <row r="1524" spans="1:13">
      <c r="A1524" s="8" t="s">
        <v>1535</v>
      </c>
      <c r="B1524" s="2">
        <f>HYPERLINK("https://www.suredividend.com/sure-analysis-research-database/","RAYONIER ADVANCED MATERIALS INC.")</f>
        <v>0</v>
      </c>
      <c r="C1524" s="1" t="s">
        <v>1970</v>
      </c>
      <c r="D1524" s="3">
        <v>8.609999999999999</v>
      </c>
      <c r="F1524" s="4">
        <v>0</v>
      </c>
      <c r="G1524" s="3">
        <v>0.28</v>
      </c>
      <c r="H1524" s="5">
        <v>583.618715</v>
      </c>
      <c r="J1524" s="4">
        <v>0</v>
      </c>
      <c r="K1524" s="7">
        <v>1.7498</v>
      </c>
      <c r="L1524" s="3">
        <v>8.85</v>
      </c>
      <c r="M1524" s="3">
        <v>3.35</v>
      </c>
    </row>
    <row r="1525" spans="1:13">
      <c r="A1525" s="8" t="s">
        <v>1536</v>
      </c>
      <c r="B1525" s="2">
        <f>HYPERLINK("https://www.suredividend.com/sure-analysis-research-database/","Ryerson Holding Corp")</f>
        <v>0</v>
      </c>
      <c r="C1525" s="1" t="s">
        <v>1964</v>
      </c>
      <c r="D1525" s="3">
        <v>29.83</v>
      </c>
      <c r="E1525" s="4">
        <v>0.03</v>
      </c>
      <c r="F1525" s="4">
        <v>0.02217</v>
      </c>
      <c r="G1525" s="3">
        <v>0.75</v>
      </c>
      <c r="H1525" s="5">
        <v>961.449515</v>
      </c>
      <c r="K1525" s="7">
        <v>1.4913</v>
      </c>
      <c r="L1525" s="3">
        <v>29.89</v>
      </c>
      <c r="M1525" s="3">
        <v>18.71</v>
      </c>
    </row>
    <row r="1526" spans="1:13">
      <c r="A1526" s="8" t="s">
        <v>1537</v>
      </c>
      <c r="B1526" s="2">
        <f>HYPERLINK("https://www.suredividend.com/sure-analysis-research-database/","RHYTHM PHARMACEUTICALS, INC.")</f>
        <v>0</v>
      </c>
      <c r="C1526" s="1" t="s">
        <v>1965</v>
      </c>
      <c r="D1526" s="3">
        <v>105.8</v>
      </c>
      <c r="F1526" s="4">
        <v>0</v>
      </c>
      <c r="G1526" s="3">
        <v>0</v>
      </c>
      <c r="H1526" s="5">
        <v>7070.685133</v>
      </c>
      <c r="J1526" s="4">
        <v>0</v>
      </c>
      <c r="K1526" s="7">
        <v>1.744</v>
      </c>
      <c r="L1526" s="3">
        <v>122.2</v>
      </c>
      <c r="M1526" s="3">
        <v>45.91</v>
      </c>
    </row>
    <row r="1527" spans="1:13">
      <c r="A1527" s="8" t="s">
        <v>1538</v>
      </c>
      <c r="B1527" s="2">
        <f>HYPERLINK("https://www.suredividend.com/sure-analysis-research-database/","Sabre Corp")</f>
        <v>0</v>
      </c>
      <c r="C1527" s="1" t="s">
        <v>1960</v>
      </c>
      <c r="D1527" s="3">
        <v>1.33</v>
      </c>
      <c r="F1527" s="4">
        <v>0</v>
      </c>
      <c r="G1527" s="3">
        <v>0.5600000000000001</v>
      </c>
      <c r="H1527" s="5">
        <v>525.196896</v>
      </c>
      <c r="I1527" s="6">
        <v>0.9497</v>
      </c>
      <c r="J1527" s="4">
        <v>0</v>
      </c>
      <c r="K1527" s="7">
        <v>2.3032</v>
      </c>
      <c r="L1527" s="3">
        <v>4.63</v>
      </c>
      <c r="M1527" s="3">
        <v>1.2</v>
      </c>
    </row>
    <row r="1528" spans="1:13">
      <c r="A1528" s="8" t="s">
        <v>1539</v>
      </c>
      <c r="B1528" s="2">
        <f>HYPERLINK("https://www.suredividend.com/sure-analysis-research-database/","Safehold Inc.")</f>
        <v>0</v>
      </c>
      <c r="C1528" s="1" t="s">
        <v>1961</v>
      </c>
      <c r="D1528" s="3">
        <v>14.99</v>
      </c>
      <c r="E1528" s="4">
        <v>0.05</v>
      </c>
      <c r="F1528" s="4">
        <v>0.13574</v>
      </c>
      <c r="G1528" s="3">
        <v>0.71</v>
      </c>
      <c r="H1528" s="5">
        <v>1300.803729</v>
      </c>
      <c r="I1528" s="6">
        <v>11.5491</v>
      </c>
      <c r="J1528" s="4">
        <v>0.452955</v>
      </c>
      <c r="K1528" s="7">
        <v>0.8467</v>
      </c>
      <c r="L1528" s="3">
        <v>18.66</v>
      </c>
      <c r="M1528" s="3">
        <v>12.6</v>
      </c>
    </row>
    <row r="1529" spans="1:13">
      <c r="A1529" s="8" t="s">
        <v>1540</v>
      </c>
      <c r="B1529" s="2">
        <f>HYPERLINK("https://www.suredividend.com/sure-analysis-research-database/","SAFETY INSURANCE GROUP INC")</f>
        <v>0</v>
      </c>
      <c r="C1529" s="1" t="s">
        <v>1962</v>
      </c>
      <c r="D1529" s="3">
        <v>75.64</v>
      </c>
      <c r="E1529" s="4">
        <v>0.05</v>
      </c>
      <c r="F1529" s="4">
        <v>0.04798</v>
      </c>
      <c r="G1529" s="3">
        <v>3.64</v>
      </c>
      <c r="H1529" s="5">
        <v>1127.033066</v>
      </c>
      <c r="I1529" s="6">
        <v>12.9137</v>
      </c>
      <c r="J1529" s="4">
        <v>0.614673</v>
      </c>
      <c r="K1529" s="7">
        <v>0.2827</v>
      </c>
      <c r="L1529" s="3">
        <v>81.25</v>
      </c>
      <c r="M1529" s="3">
        <v>66.22</v>
      </c>
    </row>
    <row r="1530" spans="1:13">
      <c r="A1530" s="8" t="s">
        <v>1541</v>
      </c>
      <c r="B1530" s="2">
        <f>HYPERLINK("https://www.suredividend.com/sure-analysis-research-database/","Sage Therapeutics, Inc.")</f>
        <v>0</v>
      </c>
      <c r="C1530" s="1" t="s">
        <v>1965</v>
      </c>
      <c r="D1530" s="3">
        <v>8.69</v>
      </c>
      <c r="F1530" s="4">
        <v>0</v>
      </c>
      <c r="G1530" s="3">
        <v>0</v>
      </c>
      <c r="H1530" s="5">
        <v>544.968566</v>
      </c>
      <c r="J1530" s="4">
        <v>0</v>
      </c>
      <c r="K1530" s="7">
        <v>1.4275</v>
      </c>
    </row>
    <row r="1531" spans="1:13">
      <c r="A1531" s="8" t="s">
        <v>1542</v>
      </c>
      <c r="B1531" s="2">
        <f>HYPERLINK("https://www.suredividend.com/sure-analysis-SAH/","SONIC AUTOMOTIVE INC")</f>
        <v>0</v>
      </c>
      <c r="C1531" s="1" t="s">
        <v>1963</v>
      </c>
      <c r="D1531" s="3">
        <v>63.915</v>
      </c>
      <c r="E1531" s="4">
        <v>0.02378158491746851</v>
      </c>
      <c r="F1531" s="4">
        <v>0.0169</v>
      </c>
      <c r="G1531" s="3">
        <v>1.46</v>
      </c>
      <c r="H1531" s="5">
        <v>2187.051776</v>
      </c>
      <c r="K1531" s="7">
        <v>1.0217</v>
      </c>
      <c r="L1531" s="3">
        <v>88.67</v>
      </c>
      <c r="M1531" s="3">
        <v>51.22</v>
      </c>
    </row>
    <row r="1532" spans="1:13">
      <c r="A1532" s="8" t="s">
        <v>1543</v>
      </c>
      <c r="B1532" s="2">
        <f>HYPERLINK("https://www.suredividend.com/sure-analysis-SAMG/","Silvercrest Asset Management Group Inc.")</f>
        <v>0</v>
      </c>
      <c r="C1532" s="1" t="s">
        <v>1962</v>
      </c>
      <c r="D1532" s="3">
        <v>15.79</v>
      </c>
      <c r="E1532" s="4">
        <v>0.05319822672577581</v>
      </c>
      <c r="F1532" s="4">
        <v>0.0475</v>
      </c>
      <c r="G1532" s="3">
        <v>0.82</v>
      </c>
      <c r="H1532" s="5">
        <v>193.122646</v>
      </c>
      <c r="I1532" s="6">
        <v>29.1594</v>
      </c>
      <c r="J1532" s="4">
        <v>1.225899</v>
      </c>
      <c r="K1532" s="7">
        <v>0.9954</v>
      </c>
      <c r="L1532" s="3">
        <v>18.07</v>
      </c>
      <c r="M1532" s="3">
        <v>13.01</v>
      </c>
    </row>
    <row r="1533" spans="1:13">
      <c r="A1533" s="8" t="s">
        <v>1544</v>
      </c>
      <c r="B1533" s="2">
        <f>HYPERLINK("https://www.suredividend.com/sure-analysis-research-database/","Sana Biotechnology, Inc.")</f>
        <v>0</v>
      </c>
      <c r="C1533" s="1" t="s">
        <v>1959</v>
      </c>
      <c r="D1533" s="3">
        <v>4.8</v>
      </c>
      <c r="F1533" s="4">
        <v>0</v>
      </c>
      <c r="G1533" s="3">
        <v>0</v>
      </c>
      <c r="H1533" s="5">
        <v>1267.902731</v>
      </c>
      <c r="J1533" s="4">
        <v>0</v>
      </c>
      <c r="K1533" s="7">
        <v>1.7444</v>
      </c>
      <c r="L1533" s="3">
        <v>6.55</v>
      </c>
      <c r="M1533" s="3">
        <v>1.26</v>
      </c>
    </row>
    <row r="1534" spans="1:13">
      <c r="A1534" s="8" t="s">
        <v>1545</v>
      </c>
      <c r="B1534" s="2">
        <f>HYPERLINK("https://www.suredividend.com/sure-analysis-research-database/","SANMINA CORP")</f>
        <v>0</v>
      </c>
      <c r="C1534" s="1" t="s">
        <v>1960</v>
      </c>
      <c r="D1534" s="3">
        <v>184.06</v>
      </c>
      <c r="F1534" s="4">
        <v>0</v>
      </c>
      <c r="G1534" s="3">
        <v>0</v>
      </c>
      <c r="H1534" s="5">
        <v>9885.339408</v>
      </c>
      <c r="I1534" s="6">
        <v>40.2018</v>
      </c>
      <c r="J1534" s="4">
        <v>0</v>
      </c>
      <c r="K1534" s="7">
        <v>1.0889</v>
      </c>
      <c r="L1534" s="3">
        <v>180.99</v>
      </c>
      <c r="M1534" s="3">
        <v>63.67</v>
      </c>
    </row>
    <row r="1535" spans="1:13">
      <c r="A1535" s="8" t="s">
        <v>1546</v>
      </c>
      <c r="B1535" s="2">
        <f>HYPERLINK("https://www.suredividend.com/sure-analysis-research-database/","EchoStar CORP")</f>
        <v>0</v>
      </c>
      <c r="C1535" s="1" t="s">
        <v>1960</v>
      </c>
      <c r="D1535" s="3">
        <v>124.5</v>
      </c>
      <c r="F1535" s="4">
        <v>0</v>
      </c>
      <c r="G1535" s="3">
        <v>8.74</v>
      </c>
      <c r="H1535" s="5">
        <v>35264.848588</v>
      </c>
      <c r="J1535" s="4">
        <v>0</v>
      </c>
      <c r="K1535" s="7">
        <v>1.0482</v>
      </c>
      <c r="L1535" s="3">
        <v>132.25</v>
      </c>
      <c r="M1535" s="3">
        <v>14.9</v>
      </c>
    </row>
    <row r="1536" spans="1:13">
      <c r="A1536" s="8" t="s">
        <v>1547</v>
      </c>
      <c r="B1536" s="2">
        <f>HYPERLINK("https://www.suredividend.com/sure-analysis-research-database/","CASSAVA SCIENCES INC")</f>
        <v>0</v>
      </c>
      <c r="C1536" s="1" t="s">
        <v>1965</v>
      </c>
      <c r="D1536" s="3">
        <v>2.21</v>
      </c>
      <c r="F1536" s="4">
        <v>0</v>
      </c>
      <c r="G1536" s="3">
        <v>0</v>
      </c>
      <c r="H1536" s="5">
        <v>104.828134</v>
      </c>
      <c r="J1536" s="4">
        <v>0</v>
      </c>
      <c r="K1536" s="7">
        <v>1.3402</v>
      </c>
      <c r="L1536" s="3">
        <v>4.98</v>
      </c>
      <c r="M1536" s="3">
        <v>1.15</v>
      </c>
    </row>
    <row r="1537" spans="1:13">
      <c r="A1537" s="8" t="s">
        <v>1548</v>
      </c>
      <c r="B1537" s="2">
        <f>HYPERLINK("https://www.suredividend.com/sure-analysis-research-database/","SAFE BULKERS, INC.")</f>
        <v>0</v>
      </c>
      <c r="C1537" s="1" t="s">
        <v>1964</v>
      </c>
      <c r="D1537" s="3">
        <v>5.33</v>
      </c>
      <c r="E1537" s="4">
        <v>0.04</v>
      </c>
      <c r="F1537" s="4">
        <v>0.03113</v>
      </c>
      <c r="G1537" s="3">
        <v>0.2</v>
      </c>
      <c r="H1537" s="5">
        <v>582.510349</v>
      </c>
      <c r="I1537" s="6">
        <v>6.5175</v>
      </c>
      <c r="J1537" s="4">
        <v>0.30297</v>
      </c>
      <c r="K1537" s="7">
        <v>0.8937</v>
      </c>
      <c r="L1537" s="3">
        <v>5.49</v>
      </c>
      <c r="M1537" s="3">
        <v>2.91</v>
      </c>
    </row>
    <row r="1538" spans="1:13">
      <c r="A1538" s="8" t="s">
        <v>1549</v>
      </c>
      <c r="B1538" s="2">
        <f>HYPERLINK("https://www.suredividend.com/sure-analysis-research-database/","SEACOAST BANKING CORP OF FLORIDA")</f>
        <v>0</v>
      </c>
      <c r="C1538" s="1" t="s">
        <v>1962</v>
      </c>
      <c r="D1538" s="3">
        <v>34.73</v>
      </c>
      <c r="E1538" s="4">
        <v>0.02</v>
      </c>
      <c r="F1538" s="4">
        <v>0.01961</v>
      </c>
      <c r="G1538" s="3">
        <v>0.73</v>
      </c>
      <c r="H1538" s="5">
        <v>3396.593333</v>
      </c>
      <c r="I1538" s="6">
        <v>23.4729</v>
      </c>
      <c r="J1538" s="4">
        <v>0.430917</v>
      </c>
      <c r="K1538" s="7">
        <v>1.1087</v>
      </c>
      <c r="L1538" s="3">
        <v>34.14</v>
      </c>
      <c r="M1538" s="3">
        <v>20.96</v>
      </c>
    </row>
    <row r="1539" spans="1:13">
      <c r="A1539" s="8" t="s">
        <v>1550</v>
      </c>
      <c r="B1539" s="2">
        <f>HYPERLINK("https://www.suredividend.com/sure-analysis-research-database/","Sinclair, Inc.")</f>
        <v>0</v>
      </c>
      <c r="C1539" s="1" t="s">
        <v>1968</v>
      </c>
      <c r="D1539" s="3">
        <v>15.17</v>
      </c>
      <c r="E1539" s="4">
        <v>0.07000000000000001</v>
      </c>
      <c r="F1539" s="4">
        <v>0.04109</v>
      </c>
      <c r="G1539" s="3">
        <v>1</v>
      </c>
      <c r="H1539" s="5">
        <v>1062.674702</v>
      </c>
      <c r="K1539" s="7">
        <v>1.643</v>
      </c>
      <c r="L1539" s="3">
        <v>17.6</v>
      </c>
      <c r="M1539" s="3">
        <v>11.5</v>
      </c>
    </row>
    <row r="1540" spans="1:13">
      <c r="A1540" s="8" t="s">
        <v>1551</v>
      </c>
      <c r="B1540" s="2">
        <f>HYPERLINK("https://www.suredividend.com/sure-analysis-research-database/","Sally Beauty Holdings, Inc.")</f>
        <v>0</v>
      </c>
      <c r="C1540" s="1" t="s">
        <v>1963</v>
      </c>
      <c r="D1540" s="3">
        <v>16.09</v>
      </c>
      <c r="F1540" s="4">
        <v>0</v>
      </c>
      <c r="G1540" s="3">
        <v>0</v>
      </c>
      <c r="H1540" s="5">
        <v>1565.812484</v>
      </c>
      <c r="I1540" s="6">
        <v>7.9938</v>
      </c>
      <c r="J1540" s="4">
        <v>0</v>
      </c>
      <c r="K1540" s="7">
        <v>1.1794</v>
      </c>
      <c r="L1540" s="3">
        <v>17.92</v>
      </c>
      <c r="M1540" s="3">
        <v>7.54</v>
      </c>
    </row>
    <row r="1541" spans="1:13">
      <c r="A1541" s="8" t="s">
        <v>1552</v>
      </c>
      <c r="B1541" s="2">
        <f>HYPERLINK("https://www.suredividend.com/sure-analysis-research-database/","Sabra Health Care REIT, Inc.")</f>
        <v>0</v>
      </c>
      <c r="C1541" s="1" t="s">
        <v>1961</v>
      </c>
      <c r="D1541" s="3">
        <v>19.25</v>
      </c>
      <c r="E1541" s="4">
        <v>0.06</v>
      </c>
      <c r="F1541" s="4">
        <v>0.06163</v>
      </c>
      <c r="G1541" s="3">
        <v>1.2</v>
      </c>
      <c r="H1541" s="5">
        <v>4814.942186</v>
      </c>
      <c r="I1541" s="6">
        <v>27.5015</v>
      </c>
      <c r="J1541" s="4">
        <v>1.631848</v>
      </c>
      <c r="K1541" s="7">
        <v>0.45</v>
      </c>
      <c r="L1541" s="3">
        <v>19.82</v>
      </c>
      <c r="M1541" s="3">
        <v>14.83</v>
      </c>
    </row>
    <row r="1542" spans="1:13">
      <c r="A1542" s="8" t="s">
        <v>1553</v>
      </c>
      <c r="B1542" s="2">
        <f>HYPERLINK("https://www.suredividend.com/sure-analysis-SBSI/","SOUTHSIDE BANCSHARES INC")</f>
        <v>0</v>
      </c>
      <c r="C1542" s="1" t="s">
        <v>1962</v>
      </c>
      <c r="D1542" s="3">
        <v>33.44</v>
      </c>
      <c r="E1542" s="4">
        <v>0.0430622009569378</v>
      </c>
      <c r="F1542" s="4">
        <v>0.04501</v>
      </c>
      <c r="G1542" s="3">
        <v>1.44</v>
      </c>
      <c r="H1542" s="5">
        <v>1006.91456</v>
      </c>
      <c r="I1542" s="6">
        <v>14.3806</v>
      </c>
      <c r="J1542" s="4">
        <v>0.6223880000000001</v>
      </c>
      <c r="K1542" s="7">
        <v>0.7372</v>
      </c>
      <c r="L1542" s="3">
        <v>32.67</v>
      </c>
      <c r="M1542" s="3">
        <v>24.9</v>
      </c>
    </row>
    <row r="1543" spans="1:13">
      <c r="A1543" s="8" t="s">
        <v>1554</v>
      </c>
      <c r="B1543" s="2">
        <f>HYPERLINK("https://www.suredividend.com/sure-analysis-research-database/","Sterling Bancorp, Inc.")</f>
        <v>0</v>
      </c>
      <c r="C1543" s="1" t="s">
        <v>1962</v>
      </c>
      <c r="D1543" s="3">
        <v>46.32</v>
      </c>
      <c r="F1543" s="4">
        <v>0</v>
      </c>
      <c r="G1543" s="3">
        <v>0.04</v>
      </c>
      <c r="H1543" s="5">
        <v>253.126763</v>
      </c>
      <c r="I1543" s="6">
        <v>118.3942</v>
      </c>
      <c r="J1543" s="4">
        <v>0</v>
      </c>
      <c r="K1543" s="7">
        <v>0.3851</v>
      </c>
    </row>
    <row r="1544" spans="1:13">
      <c r="A1544" s="8" t="s">
        <v>1555</v>
      </c>
      <c r="B1544" s="2">
        <f>HYPERLINK("https://www.suredividend.com/sure-analysis-research-database/","SCHOLASTIC CORP")</f>
        <v>0</v>
      </c>
      <c r="C1544" s="1" t="s">
        <v>1968</v>
      </c>
      <c r="D1544" s="3">
        <v>34.32</v>
      </c>
      <c r="E1544" s="4">
        <v>0.02</v>
      </c>
      <c r="F1544" s="4">
        <v>0.02324</v>
      </c>
      <c r="G1544" s="3">
        <v>0.8</v>
      </c>
      <c r="H1544" s="5">
        <v>876.211907</v>
      </c>
      <c r="K1544" s="7">
        <v>1.0137</v>
      </c>
      <c r="L1544" s="3">
        <v>34.8</v>
      </c>
      <c r="M1544" s="3">
        <v>15.37</v>
      </c>
    </row>
    <row r="1545" spans="1:13">
      <c r="A1545" s="8" t="s">
        <v>1556</v>
      </c>
      <c r="B1545" s="2">
        <f>HYPERLINK("https://www.suredividend.com/sure-analysis-SCL/","STEPAN CO")</f>
        <v>0</v>
      </c>
      <c r="C1545" s="1" t="s">
        <v>1970</v>
      </c>
      <c r="D1545" s="3">
        <v>53.24</v>
      </c>
      <c r="E1545" s="4">
        <v>0.02967693463561232</v>
      </c>
      <c r="F1545" s="4">
        <v>0.03049</v>
      </c>
      <c r="G1545" s="3">
        <v>1.55</v>
      </c>
      <c r="H1545" s="5">
        <v>1205.367309</v>
      </c>
      <c r="I1545" s="6">
        <v>26.6433</v>
      </c>
      <c r="J1545" s="4">
        <v>0.768241</v>
      </c>
      <c r="K1545" s="7">
        <v>1.0689</v>
      </c>
      <c r="L1545" s="3">
        <v>63.97</v>
      </c>
      <c r="M1545" s="3">
        <v>41.46</v>
      </c>
    </row>
    <row r="1546" spans="1:13">
      <c r="A1546" s="8" t="s">
        <v>1557</v>
      </c>
      <c r="B1546" s="2">
        <f>HYPERLINK("https://www.suredividend.com/sure-analysis-research-database/","Scilex Holding Co")</f>
        <v>0</v>
      </c>
      <c r="C1546" s="1" t="s">
        <v>1959</v>
      </c>
      <c r="D1546" s="3">
        <v>10.58</v>
      </c>
      <c r="F1546" s="4">
        <v>0</v>
      </c>
      <c r="G1546" s="3">
        <v>0</v>
      </c>
      <c r="H1546" s="5">
        <v>80.405728</v>
      </c>
      <c r="J1546" s="4">
        <v>0</v>
      </c>
      <c r="K1546" s="7">
        <v>0.8325</v>
      </c>
      <c r="L1546" s="3">
        <v>34.27</v>
      </c>
      <c r="M1546" s="3">
        <v>3.6</v>
      </c>
    </row>
    <row r="1547" spans="1:13">
      <c r="A1547" s="8" t="s">
        <v>1558</v>
      </c>
      <c r="B1547" s="2">
        <f>HYPERLINK("https://www.suredividend.com/sure-analysis-research-database/","scPharmaceuticals Inc.")</f>
        <v>0</v>
      </c>
      <c r="C1547" s="1" t="s">
        <v>1965</v>
      </c>
      <c r="D1547" s="3">
        <v>5.67</v>
      </c>
      <c r="F1547" s="4">
        <v>0</v>
      </c>
      <c r="G1547" s="3">
        <v>0</v>
      </c>
      <c r="H1547" s="5">
        <v>302.201338</v>
      </c>
      <c r="J1547" s="4">
        <v>0</v>
      </c>
      <c r="K1547" s="7">
        <v>1.3225</v>
      </c>
    </row>
    <row r="1548" spans="1:13">
      <c r="A1548" s="8" t="s">
        <v>1559</v>
      </c>
      <c r="B1548" s="2">
        <f>HYPERLINK("https://www.suredividend.com/sure-analysis-research-database/","STEELCASE INC")</f>
        <v>0</v>
      </c>
      <c r="C1548" s="1" t="s">
        <v>1964</v>
      </c>
      <c r="D1548" s="3">
        <v>16.11</v>
      </c>
      <c r="E1548" s="4">
        <v>0.02</v>
      </c>
      <c r="F1548" s="4">
        <v>0.02633</v>
      </c>
      <c r="G1548" s="3">
        <v>0.4</v>
      </c>
      <c r="H1548" s="5">
        <v>1851.92894</v>
      </c>
      <c r="I1548" s="6">
        <v>19.4326</v>
      </c>
      <c r="J1548" s="4">
        <v>0.500525</v>
      </c>
      <c r="K1548" s="7">
        <v>0.9806</v>
      </c>
    </row>
    <row r="1549" spans="1:13">
      <c r="A1549" s="8" t="s">
        <v>1560</v>
      </c>
      <c r="B1549" s="2">
        <f>HYPERLINK("https://www.suredividend.com/sure-analysis-research-database/","SCANSOURCE, INC.")</f>
        <v>0</v>
      </c>
      <c r="C1549" s="1" t="s">
        <v>1960</v>
      </c>
      <c r="D1549" s="3">
        <v>41.175</v>
      </c>
      <c r="F1549" s="4">
        <v>0</v>
      </c>
      <c r="G1549" s="3">
        <v>0</v>
      </c>
      <c r="H1549" s="5">
        <v>903.372849</v>
      </c>
      <c r="I1549" s="6">
        <v>12.1336</v>
      </c>
      <c r="J1549" s="4">
        <v>0</v>
      </c>
      <c r="K1549" s="7">
        <v>1.2511</v>
      </c>
      <c r="L1549" s="3">
        <v>52.06</v>
      </c>
      <c r="M1549" s="3">
        <v>28.75</v>
      </c>
    </row>
    <row r="1550" spans="1:13">
      <c r="A1550" s="8" t="s">
        <v>1561</v>
      </c>
      <c r="B1550" s="2">
        <f>HYPERLINK("https://www.suredividend.com/sure-analysis-SCVL/","SHOE CARNIVAL INC")</f>
        <v>0</v>
      </c>
      <c r="C1550" s="1" t="s">
        <v>1963</v>
      </c>
      <c r="D1550" s="3">
        <v>20</v>
      </c>
      <c r="E1550" s="4">
        <v>0.03</v>
      </c>
      <c r="F1550" s="4">
        <v>0.02299</v>
      </c>
      <c r="G1550" s="3">
        <v>0.6</v>
      </c>
      <c r="H1550" s="5">
        <v>545.583112</v>
      </c>
      <c r="I1550" s="6">
        <v>9.426299999999999</v>
      </c>
      <c r="J1550" s="4">
        <v>0.281708</v>
      </c>
      <c r="K1550" s="7">
        <v>1.0634</v>
      </c>
      <c r="L1550" s="3">
        <v>30.03</v>
      </c>
      <c r="M1550" s="3">
        <v>15.09</v>
      </c>
    </row>
    <row r="1551" spans="1:13">
      <c r="A1551" s="8" t="s">
        <v>1562</v>
      </c>
      <c r="B1551" s="2">
        <f>HYPERLINK("https://www.suredividend.com/sure-analysis-research-database/","374Water Inc.")</f>
        <v>0</v>
      </c>
      <c r="C1551" s="1" t="s">
        <v>1959</v>
      </c>
      <c r="D1551" s="3">
        <v>2.57</v>
      </c>
      <c r="F1551" s="4">
        <v>0</v>
      </c>
      <c r="G1551" s="3">
        <v>0</v>
      </c>
      <c r="H1551" s="5">
        <v>44.343185</v>
      </c>
      <c r="J1551" s="4">
        <v>0</v>
      </c>
      <c r="K1551" s="7">
        <v>1.3738</v>
      </c>
      <c r="L1551" s="3">
        <v>10.9</v>
      </c>
      <c r="M1551" s="3">
        <v>1.63</v>
      </c>
    </row>
    <row r="1552" spans="1:13">
      <c r="A1552" s="8" t="s">
        <v>1563</v>
      </c>
      <c r="B1552" s="2">
        <f>HYPERLINK("https://www.suredividend.com/sure-analysis-research-database/","SANDRIDGE ENERGY INC")</f>
        <v>0</v>
      </c>
      <c r="C1552" s="1" t="s">
        <v>1969</v>
      </c>
      <c r="D1552" s="3">
        <v>15.32</v>
      </c>
      <c r="E1552" s="4">
        <v>0.03</v>
      </c>
      <c r="F1552" s="4">
        <v>0.06759999999999999</v>
      </c>
      <c r="G1552" s="3">
        <v>0.46</v>
      </c>
      <c r="H1552" s="5">
        <v>563.373789</v>
      </c>
      <c r="I1552" s="6">
        <v>8.5175</v>
      </c>
      <c r="J1552" s="4">
        <v>0.243835</v>
      </c>
      <c r="K1552" s="7">
        <v>0.6909999999999999</v>
      </c>
      <c r="L1552" s="3">
        <v>15.56</v>
      </c>
      <c r="M1552" s="3">
        <v>8.550000000000001</v>
      </c>
    </row>
    <row r="1553" spans="1:13">
      <c r="A1553" s="8" t="s">
        <v>1564</v>
      </c>
      <c r="B1553" s="2">
        <f>HYPERLINK("https://www.suredividend.com/sure-analysis-research-database/","Schrodinger, Inc.")</f>
        <v>0</v>
      </c>
      <c r="C1553" s="1" t="s">
        <v>1965</v>
      </c>
      <c r="D1553" s="3">
        <v>16.56</v>
      </c>
      <c r="F1553" s="4">
        <v>0</v>
      </c>
      <c r="G1553" s="3">
        <v>0</v>
      </c>
      <c r="H1553" s="5">
        <v>1209.574423</v>
      </c>
      <c r="J1553" s="4">
        <v>0</v>
      </c>
      <c r="K1553" s="7">
        <v>2.2929</v>
      </c>
      <c r="L1553" s="3">
        <v>28.47</v>
      </c>
      <c r="M1553" s="3">
        <v>15.99</v>
      </c>
    </row>
    <row r="1554" spans="1:13">
      <c r="A1554" s="8" t="s">
        <v>1565</v>
      </c>
      <c r="B1554" s="2">
        <f>HYPERLINK("https://www.suredividend.com/sure-analysis-research-database/","Seadrill Ltd")</f>
        <v>0</v>
      </c>
      <c r="C1554" s="1" t="s">
        <v>1969</v>
      </c>
      <c r="D1554" s="3">
        <v>38.08</v>
      </c>
      <c r="F1554" s="4">
        <v>0</v>
      </c>
      <c r="G1554" s="3">
        <v>0</v>
      </c>
      <c r="H1554" s="5">
        <v>2380.198365</v>
      </c>
      <c r="I1554" s="6">
        <v>70.00579999999999</v>
      </c>
      <c r="J1554" s="4">
        <v>0</v>
      </c>
      <c r="K1554" s="7">
        <v>1.2277</v>
      </c>
      <c r="L1554" s="3">
        <v>38.38</v>
      </c>
      <c r="M1554" s="3">
        <v>17.74</v>
      </c>
    </row>
    <row r="1555" spans="1:13">
      <c r="A1555" s="8" t="s">
        <v>1566</v>
      </c>
      <c r="B1555" s="2">
        <f>HYPERLINK("https://www.suredividend.com/sure-analysis-research-database/","Vivid Seats Inc.")</f>
        <v>0</v>
      </c>
      <c r="C1555" s="1" t="s">
        <v>1959</v>
      </c>
      <c r="D1555" s="3">
        <v>6.45</v>
      </c>
      <c r="F1555" s="4">
        <v>0.00616</v>
      </c>
      <c r="G1555" s="3">
        <v>0.23</v>
      </c>
      <c r="H1555" s="5">
        <v>69.17828799999999</v>
      </c>
      <c r="K1555" s="7">
        <v>1.1015</v>
      </c>
      <c r="L1555" s="3">
        <v>96.8</v>
      </c>
      <c r="M1555" s="3">
        <v>6.13</v>
      </c>
    </row>
    <row r="1556" spans="1:13">
      <c r="A1556" s="8" t="s">
        <v>1567</v>
      </c>
      <c r="B1556" s="2">
        <f>HYPERLINK("https://www.suredividend.com/sure-analysis-research-database/","Solaris Energy Infrastructure, Inc.")</f>
        <v>0</v>
      </c>
      <c r="C1556" s="1" t="s">
        <v>1959</v>
      </c>
      <c r="D1556" s="3">
        <v>57.9</v>
      </c>
      <c r="E1556" s="4">
        <v>0.01</v>
      </c>
      <c r="F1556" s="4">
        <v>0.00851</v>
      </c>
      <c r="G1556" s="3">
        <v>0.48</v>
      </c>
      <c r="H1556" s="5">
        <v>3902.080692</v>
      </c>
      <c r="I1556" s="6">
        <v>106.6142</v>
      </c>
      <c r="J1556" s="4">
        <v>0.434143</v>
      </c>
      <c r="K1556" s="7">
        <v>1.7601</v>
      </c>
      <c r="L1556" s="3">
        <v>57.98</v>
      </c>
      <c r="M1556" s="3">
        <v>14.12</v>
      </c>
    </row>
    <row r="1557" spans="1:13">
      <c r="A1557" s="8" t="s">
        <v>1568</v>
      </c>
      <c r="B1557" s="2">
        <f>HYPERLINK("https://www.suredividend.com/sure-analysis-research-database/","SELECT MEDICAL HOLDINGS CORP")</f>
        <v>0</v>
      </c>
      <c r="C1557" s="1" t="s">
        <v>1965</v>
      </c>
      <c r="D1557" s="3">
        <v>15.33</v>
      </c>
      <c r="E1557" s="4">
        <v>1.15</v>
      </c>
      <c r="F1557" s="4">
        <v>0.2543</v>
      </c>
      <c r="G1557" s="3">
        <v>17.68</v>
      </c>
      <c r="H1557" s="5">
        <v>1898.12367</v>
      </c>
      <c r="I1557" s="6">
        <v>17.2565</v>
      </c>
      <c r="J1557" s="4">
        <v>0.624884</v>
      </c>
      <c r="K1557" s="7">
        <v>0.8535</v>
      </c>
      <c r="L1557" s="3">
        <v>20.47</v>
      </c>
      <c r="M1557" s="3">
        <v>11.54</v>
      </c>
    </row>
    <row r="1558" spans="1:13">
      <c r="A1558" s="8" t="s">
        <v>1569</v>
      </c>
      <c r="B1558" s="2">
        <f>HYPERLINK("https://www.suredividend.com/sure-analysis-research-database/","SEMrush Holdings, Inc.")</f>
        <v>0</v>
      </c>
      <c r="C1558" s="1" t="s">
        <v>1959</v>
      </c>
      <c r="D1558" s="3">
        <v>11.825</v>
      </c>
      <c r="F1558" s="4">
        <v>0</v>
      </c>
      <c r="G1558" s="3">
        <v>0</v>
      </c>
      <c r="H1558" s="5">
        <v>1776.777593</v>
      </c>
      <c r="J1558" s="4">
        <v>0</v>
      </c>
      <c r="K1558" s="7">
        <v>1.3218</v>
      </c>
      <c r="L1558" s="3">
        <v>18.74</v>
      </c>
      <c r="M1558" s="3">
        <v>6.56</v>
      </c>
    </row>
    <row r="1559" spans="1:13">
      <c r="A1559" s="8" t="s">
        <v>1570</v>
      </c>
      <c r="B1559" s="2">
        <f>HYPERLINK("https://www.suredividend.com/sure-analysis-research-database/","Seneca Foods Corp")</f>
        <v>0</v>
      </c>
      <c r="C1559" s="1" t="s">
        <v>1966</v>
      </c>
      <c r="D1559" s="3">
        <v>118.715</v>
      </c>
      <c r="F1559" s="4">
        <v>0</v>
      </c>
      <c r="G1559" s="3">
        <v>0</v>
      </c>
      <c r="H1559" s="5">
        <v>812.882391</v>
      </c>
      <c r="I1559" s="6">
        <v>14.0569</v>
      </c>
      <c r="J1559" s="4">
        <v>0.000398</v>
      </c>
      <c r="K1559" s="7">
        <v>0.0324</v>
      </c>
      <c r="L1559" s="3">
        <v>129.03</v>
      </c>
      <c r="M1559" s="3">
        <v>70.98</v>
      </c>
    </row>
    <row r="1560" spans="1:13">
      <c r="A1560" s="8" t="s">
        <v>1571</v>
      </c>
      <c r="B1560" s="2">
        <f>HYPERLINK("https://www.suredividend.com/sure-analysis-research-database/","Septerna, Inc.")</f>
        <v>0</v>
      </c>
      <c r="C1560" s="1" t="s">
        <v>1959</v>
      </c>
      <c r="D1560" s="3">
        <v>26.31</v>
      </c>
      <c r="F1560" s="4">
        <v>0</v>
      </c>
      <c r="G1560" s="3">
        <v>0</v>
      </c>
      <c r="H1560" s="5">
        <v>1201.615309</v>
      </c>
      <c r="J1560" s="4">
        <v>0</v>
      </c>
      <c r="K1560" s="7">
        <v>2.9691</v>
      </c>
      <c r="L1560" s="3">
        <v>30.5</v>
      </c>
      <c r="M1560" s="3">
        <v>4.17</v>
      </c>
    </row>
    <row r="1561" spans="1:13">
      <c r="A1561" s="8" t="s">
        <v>1572</v>
      </c>
      <c r="B1561" s="2">
        <f>HYPERLINK("https://www.suredividend.com/sure-analysis-research-database/","SERA PROGNOSTICS, INC.")</f>
        <v>0</v>
      </c>
      <c r="C1561" s="1" t="s">
        <v>1959</v>
      </c>
      <c r="D1561" s="3">
        <v>3.55</v>
      </c>
      <c r="F1561" s="4">
        <v>0</v>
      </c>
      <c r="G1561" s="3">
        <v>0</v>
      </c>
      <c r="H1561" s="5">
        <v>137.011515</v>
      </c>
      <c r="J1561" s="4">
        <v>0</v>
      </c>
      <c r="K1561" s="7">
        <v>1.078</v>
      </c>
      <c r="L1561" s="3">
        <v>6.92</v>
      </c>
      <c r="M1561" s="3">
        <v>1.37</v>
      </c>
    </row>
    <row r="1562" spans="1:13">
      <c r="A1562" s="8" t="s">
        <v>1573</v>
      </c>
      <c r="B1562" s="2">
        <f>HYPERLINK("https://www.suredividend.com/sure-analysis-research-database/","SES AI Corp")</f>
        <v>0</v>
      </c>
      <c r="C1562" s="1" t="s">
        <v>1969</v>
      </c>
      <c r="D1562" s="3">
        <v>2.45</v>
      </c>
      <c r="F1562" s="4">
        <v>0</v>
      </c>
      <c r="G1562" s="3">
        <v>0</v>
      </c>
      <c r="H1562" s="5">
        <v>861.569354</v>
      </c>
      <c r="J1562" s="4">
        <v>0</v>
      </c>
      <c r="K1562" s="7">
        <v>2.3008</v>
      </c>
      <c r="L1562" s="3">
        <v>3.73</v>
      </c>
      <c r="M1562" s="3">
        <v>0.38</v>
      </c>
    </row>
    <row r="1563" spans="1:13">
      <c r="A1563" s="8" t="s">
        <v>1574</v>
      </c>
      <c r="B1563" s="2">
        <f>HYPERLINK("https://www.suredividend.com/sure-analysis-research-database/","Seven Hills Realty Trust")</f>
        <v>0</v>
      </c>
      <c r="C1563" s="1" t="s">
        <v>1959</v>
      </c>
      <c r="D1563" s="3">
        <v>9.199999999999999</v>
      </c>
      <c r="E1563" s="4">
        <v>0.15</v>
      </c>
      <c r="F1563" s="4">
        <v>0.13093</v>
      </c>
      <c r="G1563" s="3">
        <v>1.38</v>
      </c>
      <c r="H1563" s="5">
        <v>138.604642</v>
      </c>
      <c r="I1563" s="6">
        <v>8.9313</v>
      </c>
      <c r="J1563" s="4">
        <v>0.817586</v>
      </c>
      <c r="K1563" s="7">
        <v>0.4873</v>
      </c>
      <c r="L1563" s="3">
        <v>12.41</v>
      </c>
      <c r="M1563" s="3">
        <v>8.300000000000001</v>
      </c>
    </row>
    <row r="1564" spans="1:13">
      <c r="A1564" s="8" t="s">
        <v>1575</v>
      </c>
      <c r="B1564" s="2">
        <f>HYPERLINK("https://www.suredividend.com/sure-analysis-research-database/","Sezzle Inc.")</f>
        <v>0</v>
      </c>
      <c r="C1564" s="1" t="s">
        <v>1959</v>
      </c>
      <c r="D1564" s="3">
        <v>68</v>
      </c>
      <c r="F1564" s="4">
        <v>0</v>
      </c>
      <c r="G1564" s="3">
        <v>0</v>
      </c>
      <c r="H1564" s="5">
        <v>2278.694965</v>
      </c>
      <c r="I1564" s="6">
        <v>19.6768</v>
      </c>
      <c r="J1564" s="4">
        <v>0</v>
      </c>
      <c r="K1564" s="7">
        <v>3.6379</v>
      </c>
      <c r="L1564" s="3">
        <v>186.74</v>
      </c>
      <c r="M1564" s="3">
        <v>24.86</v>
      </c>
    </row>
    <row r="1565" spans="1:13">
      <c r="A1565" s="8" t="s">
        <v>1576</v>
      </c>
      <c r="B1565" s="2">
        <f>HYPERLINK("https://www.suredividend.com/sure-analysis-SFBS/","ServisFirst Bancshares, Inc.")</f>
        <v>0</v>
      </c>
      <c r="C1565" s="1" t="s">
        <v>1962</v>
      </c>
      <c r="D1565" s="3">
        <v>87.42</v>
      </c>
      <c r="E1565" s="4">
        <v>0.01738732555479295</v>
      </c>
      <c r="F1565" s="4">
        <v>0.01492</v>
      </c>
      <c r="G1565" s="3">
        <v>1.39</v>
      </c>
      <c r="H1565" s="5">
        <v>4777.225602</v>
      </c>
      <c r="I1565" s="6">
        <v>18.71</v>
      </c>
      <c r="J1565" s="4">
        <v>0.279163</v>
      </c>
      <c r="K1565" s="7">
        <v>1.126</v>
      </c>
      <c r="L1565" s="3">
        <v>92.23999999999999</v>
      </c>
      <c r="M1565" s="3">
        <v>65.56999999999999</v>
      </c>
    </row>
    <row r="1566" spans="1:13">
      <c r="A1566" s="8" t="s">
        <v>1577</v>
      </c>
      <c r="B1566" s="2">
        <f>HYPERLINK("https://www.suredividend.com/sure-analysis-research-database/","Stitch Fix, Inc.")</f>
        <v>0</v>
      </c>
      <c r="C1566" s="1" t="s">
        <v>1963</v>
      </c>
      <c r="D1566" s="3">
        <v>5.225</v>
      </c>
      <c r="F1566" s="4">
        <v>0</v>
      </c>
      <c r="G1566" s="3">
        <v>0</v>
      </c>
      <c r="H1566" s="5">
        <v>701.860739</v>
      </c>
      <c r="J1566" s="4">
        <v>0</v>
      </c>
      <c r="K1566" s="7">
        <v>1.9068</v>
      </c>
      <c r="L1566" s="3">
        <v>5.94</v>
      </c>
      <c r="M1566" s="3">
        <v>2.6</v>
      </c>
    </row>
    <row r="1567" spans="1:13">
      <c r="A1567" s="8" t="s">
        <v>1578</v>
      </c>
      <c r="B1567" s="2">
        <f>HYPERLINK("https://www.suredividend.com/sure-analysis-research-database/","SFL Corp Ltd.")</f>
        <v>0</v>
      </c>
      <c r="C1567" s="1" t="s">
        <v>1964</v>
      </c>
      <c r="D1567" s="3">
        <v>8.449999999999999</v>
      </c>
      <c r="E1567" s="4">
        <v>0.11</v>
      </c>
      <c r="F1567" s="4">
        <v>0.10911</v>
      </c>
      <c r="G1567" s="3">
        <v>0.9399999999999999</v>
      </c>
      <c r="H1567" s="5">
        <v>1234.151198</v>
      </c>
      <c r="I1567" s="6">
        <v>9.446</v>
      </c>
      <c r="J1567" s="4">
        <v>1.059991</v>
      </c>
      <c r="K1567" s="7">
        <v>0.5524</v>
      </c>
      <c r="L1567" s="3">
        <v>9.949999999999999</v>
      </c>
      <c r="M1567" s="3">
        <v>6.26</v>
      </c>
    </row>
    <row r="1568" spans="1:13">
      <c r="A1568" s="8" t="s">
        <v>1579</v>
      </c>
      <c r="B1568" s="2">
        <f>HYPERLINK("https://www.suredividend.com/sure-analysis-research-database/","Sprouts Farmers Market, Inc.")</f>
        <v>0</v>
      </c>
      <c r="C1568" s="1" t="s">
        <v>1966</v>
      </c>
      <c r="D1568" s="3">
        <v>71.53</v>
      </c>
      <c r="F1568" s="4">
        <v>0</v>
      </c>
      <c r="G1568" s="3">
        <v>0</v>
      </c>
      <c r="H1568" s="5">
        <v>6944.388389</v>
      </c>
      <c r="I1568" s="6">
        <v>13.525</v>
      </c>
      <c r="J1568" s="4">
        <v>0</v>
      </c>
      <c r="K1568" s="7">
        <v>0.5635</v>
      </c>
      <c r="L1568" s="3">
        <v>182</v>
      </c>
      <c r="M1568" s="3">
        <v>71</v>
      </c>
    </row>
    <row r="1569" spans="1:13">
      <c r="A1569" s="8" t="s">
        <v>1580</v>
      </c>
      <c r="B1569" s="2">
        <f>HYPERLINK("https://www.suredividend.com/sure-analysis-SFNC/","SIMMONS FIRST NATIONAL CORP")</f>
        <v>0</v>
      </c>
      <c r="C1569" s="1" t="s">
        <v>1962</v>
      </c>
      <c r="D1569" s="3">
        <v>21.04</v>
      </c>
      <c r="E1569" s="4">
        <v>0.04039923954372623</v>
      </c>
      <c r="F1569" s="4">
        <v>0.04131</v>
      </c>
      <c r="G1569" s="3">
        <v>0.85</v>
      </c>
      <c r="H1569" s="5">
        <v>3039.069621</v>
      </c>
      <c r="K1569" s="7">
        <v>0.9781</v>
      </c>
      <c r="L1569" s="3">
        <v>22.45</v>
      </c>
      <c r="M1569" s="3">
        <v>16.65</v>
      </c>
    </row>
    <row r="1570" spans="1:13">
      <c r="A1570" s="8" t="s">
        <v>1581</v>
      </c>
      <c r="B1570" s="2">
        <f>HYPERLINK("https://www.suredividend.com/sure-analysis-research-database/","SOUTHERN FIRST BANCSHARES INC")</f>
        <v>0</v>
      </c>
      <c r="C1570" s="1" t="s">
        <v>1962</v>
      </c>
      <c r="D1570" s="3">
        <v>57.5</v>
      </c>
      <c r="F1570" s="4">
        <v>0</v>
      </c>
      <c r="G1570" s="3">
        <v>0</v>
      </c>
      <c r="J1570" s="4">
        <v>0</v>
      </c>
      <c r="K1570" s="7">
        <v>0.784</v>
      </c>
      <c r="L1570" s="3">
        <v>57.25</v>
      </c>
      <c r="M1570" s="3">
        <v>29.14</v>
      </c>
    </row>
    <row r="1571" spans="1:13">
      <c r="A1571" s="8" t="s">
        <v>1582</v>
      </c>
      <c r="B1571" s="2">
        <f>HYPERLINK("https://www.suredividend.com/sure-analysis-research-database/","Sweetgreen, Inc.")</f>
        <v>0</v>
      </c>
      <c r="C1571" s="1" t="s">
        <v>1962</v>
      </c>
      <c r="D1571" s="3">
        <v>6.93</v>
      </c>
      <c r="F1571" s="4">
        <v>0</v>
      </c>
      <c r="G1571" s="3">
        <v>0</v>
      </c>
      <c r="H1571" s="5">
        <v>820.328639</v>
      </c>
      <c r="J1571" s="4">
        <v>0</v>
      </c>
      <c r="K1571" s="7">
        <v>1.4663</v>
      </c>
      <c r="L1571" s="3">
        <v>35.16</v>
      </c>
      <c r="M1571" s="3">
        <v>5.14</v>
      </c>
    </row>
    <row r="1572" spans="1:13">
      <c r="A1572" s="8" t="s">
        <v>1583</v>
      </c>
      <c r="B1572" s="2">
        <f>HYPERLINK("https://www.suredividend.com/sure-analysis-research-database/","SUPERIOR GROUP OF COMPANIES, INC.")</f>
        <v>0</v>
      </c>
      <c r="C1572" s="1" t="s">
        <v>1963</v>
      </c>
      <c r="D1572" s="3">
        <v>9.949999999999999</v>
      </c>
      <c r="E1572" s="4">
        <v>0.06</v>
      </c>
      <c r="F1572" s="4">
        <v>0.05666</v>
      </c>
      <c r="G1572" s="3">
        <v>0.5600000000000001</v>
      </c>
      <c r="H1572" s="5">
        <v>159.68792</v>
      </c>
      <c r="I1572" s="6">
        <v>28.5872</v>
      </c>
      <c r="J1572" s="4">
        <v>1.600249</v>
      </c>
      <c r="K1572" s="7">
        <v>1.1332</v>
      </c>
      <c r="L1572" s="3">
        <v>15.53</v>
      </c>
      <c r="M1572" s="3">
        <v>8.300000000000001</v>
      </c>
    </row>
    <row r="1573" spans="1:13">
      <c r="A1573" s="8" t="s">
        <v>1584</v>
      </c>
      <c r="B1573" s="2">
        <f>HYPERLINK("https://www.suredividend.com/sure-analysis-research-database/","Super Group (SGHC) Ltd")</f>
        <v>0</v>
      </c>
      <c r="C1573" s="1" t="s">
        <v>1959</v>
      </c>
      <c r="D1573" s="3">
        <v>9.755000000000001</v>
      </c>
      <c r="E1573" s="4">
        <v>0.03</v>
      </c>
      <c r="F1573" s="4">
        <v>0.00788</v>
      </c>
      <c r="G1573" s="3">
        <v>0.31</v>
      </c>
      <c r="H1573" s="5">
        <v>4908.225884</v>
      </c>
      <c r="I1573" s="6">
        <v>12.9052</v>
      </c>
      <c r="J1573" s="4">
        <v>0</v>
      </c>
      <c r="K1573" s="7">
        <v>1.3034</v>
      </c>
      <c r="L1573" s="3">
        <v>14.33</v>
      </c>
      <c r="M1573" s="3">
        <v>5.53</v>
      </c>
    </row>
    <row r="1574" spans="1:13">
      <c r="A1574" s="8" t="s">
        <v>1585</v>
      </c>
      <c r="B1574" s="2">
        <f>HYPERLINK("https://www.suredividend.com/sure-analysis-research-database/","Sight Sciences, Inc.")</f>
        <v>0</v>
      </c>
      <c r="C1574" s="1" t="s">
        <v>1959</v>
      </c>
      <c r="D1574" s="3">
        <v>6.36</v>
      </c>
      <c r="F1574" s="4">
        <v>0</v>
      </c>
      <c r="G1574" s="3">
        <v>0</v>
      </c>
      <c r="H1574" s="5">
        <v>337.321644</v>
      </c>
      <c r="J1574" s="4">
        <v>0</v>
      </c>
      <c r="K1574" s="7">
        <v>2.0065</v>
      </c>
      <c r="L1574" s="3">
        <v>9.24</v>
      </c>
      <c r="M1574" s="3">
        <v>2.03</v>
      </c>
    </row>
    <row r="1575" spans="1:13">
      <c r="A1575" s="8" t="s">
        <v>1586</v>
      </c>
      <c r="B1575" s="2">
        <f>HYPERLINK("https://www.suredividend.com/sure-analysis-research-database/","Surgery Partners, Inc.")</f>
        <v>0</v>
      </c>
      <c r="C1575" s="1" t="s">
        <v>1965</v>
      </c>
      <c r="D1575" s="3">
        <v>15.4</v>
      </c>
      <c r="F1575" s="4">
        <v>0</v>
      </c>
      <c r="G1575" s="3">
        <v>0</v>
      </c>
      <c r="H1575" s="5">
        <v>2000.917321</v>
      </c>
      <c r="J1575" s="4">
        <v>9.030042999999999</v>
      </c>
      <c r="K1575" s="7">
        <v>1.4873</v>
      </c>
      <c r="L1575" s="3">
        <v>26.16</v>
      </c>
      <c r="M1575" s="3">
        <v>14.94</v>
      </c>
    </row>
    <row r="1576" spans="1:13">
      <c r="A1576" s="8" t="s">
        <v>1587</v>
      </c>
      <c r="B1576" s="2">
        <f>HYPERLINK("https://www.suredividend.com/sure-analysis-research-database/","Shake Shack Inc.")</f>
        <v>0</v>
      </c>
      <c r="C1576" s="1" t="s">
        <v>1963</v>
      </c>
      <c r="D1576" s="3">
        <v>94.81</v>
      </c>
      <c r="F1576" s="4">
        <v>0</v>
      </c>
      <c r="G1576" s="3">
        <v>0</v>
      </c>
      <c r="H1576" s="5">
        <v>4047.285118</v>
      </c>
      <c r="I1576" s="6">
        <v>94.9978</v>
      </c>
      <c r="J1576" s="4">
        <v>0.044136</v>
      </c>
      <c r="K1576" s="7">
        <v>1.3039</v>
      </c>
      <c r="L1576" s="3">
        <v>144.65</v>
      </c>
      <c r="M1576" s="3">
        <v>72.93000000000001</v>
      </c>
    </row>
    <row r="1577" spans="1:13">
      <c r="A1577" s="8" t="s">
        <v>1588</v>
      </c>
      <c r="B1577" s="2">
        <f>HYPERLINK("https://www.suredividend.com/sure-analysis-research-database/","SHORE BANCSHARES INC")</f>
        <v>0</v>
      </c>
      <c r="C1577" s="1" t="s">
        <v>1962</v>
      </c>
      <c r="D1577" s="3">
        <v>18.96</v>
      </c>
      <c r="E1577" s="4">
        <v>0.03</v>
      </c>
      <c r="F1577" s="4">
        <v>0.02844</v>
      </c>
      <c r="G1577" s="3">
        <v>0.48</v>
      </c>
      <c r="H1577" s="5">
        <v>631.765688</v>
      </c>
      <c r="I1577" s="6">
        <v>11.1029</v>
      </c>
      <c r="J1577" s="4">
        <v>0.282807</v>
      </c>
      <c r="K1577" s="7">
        <v>1.0381</v>
      </c>
      <c r="L1577" s="3">
        <v>19.22</v>
      </c>
      <c r="M1577" s="3">
        <v>11.2</v>
      </c>
    </row>
    <row r="1578" spans="1:13">
      <c r="A1578" s="8" t="s">
        <v>1589</v>
      </c>
      <c r="B1578" s="2">
        <f>HYPERLINK("https://www.suredividend.com/sure-analysis-research-database/","SHENANDOAH TELECOMMUNICATIONS CO/VA/")</f>
        <v>0</v>
      </c>
      <c r="C1578" s="1" t="s">
        <v>1968</v>
      </c>
      <c r="D1578" s="3">
        <v>11.65</v>
      </c>
      <c r="E1578" s="4">
        <v>0.01</v>
      </c>
      <c r="F1578" s="4">
        <v>0.33189</v>
      </c>
      <c r="G1578" s="3">
        <v>0.11</v>
      </c>
      <c r="H1578" s="5">
        <v>640.112301</v>
      </c>
      <c r="J1578" s="4">
        <v>0</v>
      </c>
      <c r="K1578" s="7">
        <v>0.3245</v>
      </c>
      <c r="L1578" s="3">
        <v>15.68</v>
      </c>
      <c r="M1578" s="3">
        <v>9.67</v>
      </c>
    </row>
    <row r="1579" spans="1:13">
      <c r="A1579" s="8" t="s">
        <v>1590</v>
      </c>
      <c r="B1579" s="2">
        <f>HYPERLINK("https://www.suredividend.com/sure-analysis-research-database/","Shoals Technologies Group, Inc.")</f>
        <v>0</v>
      </c>
      <c r="C1579" s="1" t="s">
        <v>1959</v>
      </c>
      <c r="D1579" s="3">
        <v>9.289999999999999</v>
      </c>
      <c r="F1579" s="4">
        <v>0</v>
      </c>
      <c r="G1579" s="3">
        <v>0</v>
      </c>
      <c r="H1579" s="5">
        <v>1514.865183</v>
      </c>
      <c r="I1579" s="6">
        <v>45.5325</v>
      </c>
      <c r="J1579" s="4">
        <v>0</v>
      </c>
      <c r="K1579" s="7">
        <v>1.1954</v>
      </c>
      <c r="L1579" s="3">
        <v>11.36</v>
      </c>
      <c r="M1579" s="3">
        <v>2.71</v>
      </c>
    </row>
    <row r="1580" spans="1:13">
      <c r="A1580" s="8" t="s">
        <v>1591</v>
      </c>
      <c r="B1580" s="2">
        <f>HYPERLINK("https://www.suredividend.com/sure-analysis-research-database/","Sunstone Hotel Investors, Inc.")</f>
        <v>0</v>
      </c>
      <c r="C1580" s="1" t="s">
        <v>1961</v>
      </c>
      <c r="D1580" s="3">
        <v>9.220000000000001</v>
      </c>
      <c r="E1580" s="4">
        <v>0.04</v>
      </c>
      <c r="F1580" s="4">
        <v>0.02203</v>
      </c>
      <c r="G1580" s="3">
        <v>0.36</v>
      </c>
      <c r="H1580" s="5">
        <v>1754.705097</v>
      </c>
      <c r="I1580" s="6">
        <v>823.4186</v>
      </c>
      <c r="J1580" s="4">
        <v>4.804751</v>
      </c>
      <c r="K1580" s="7">
        <v>0.9375</v>
      </c>
      <c r="L1580" s="3">
        <v>11.36</v>
      </c>
      <c r="M1580" s="3">
        <v>7.23</v>
      </c>
    </row>
    <row r="1581" spans="1:13">
      <c r="A1581" s="8" t="s">
        <v>1592</v>
      </c>
      <c r="B1581" s="2">
        <f>HYPERLINK("https://www.suredividend.com/sure-analysis-research-database/","STEVEN MADDEN, LTD.")</f>
        <v>0</v>
      </c>
      <c r="C1581" s="1" t="s">
        <v>1963</v>
      </c>
      <c r="D1581" s="3">
        <v>45.205</v>
      </c>
      <c r="E1581" s="4">
        <v>0.02</v>
      </c>
      <c r="F1581" s="4">
        <v>0.01805</v>
      </c>
      <c r="G1581" s="3">
        <v>0.84</v>
      </c>
      <c r="H1581" s="5">
        <v>3285.591911</v>
      </c>
      <c r="I1581" s="6">
        <v>58.3835</v>
      </c>
      <c r="J1581" s="4">
        <v>1.050298</v>
      </c>
      <c r="K1581" s="7">
        <v>1.1082</v>
      </c>
      <c r="L1581" s="3">
        <v>46.55</v>
      </c>
      <c r="M1581" s="3">
        <v>18.67</v>
      </c>
    </row>
    <row r="1582" spans="1:13">
      <c r="A1582" s="8" t="s">
        <v>1593</v>
      </c>
      <c r="B1582" s="2">
        <f>HYPERLINK("https://www.suredividend.com/sure-analysis-research-database/","SHYFT GROUP, INC.")</f>
        <v>0</v>
      </c>
      <c r="C1582" s="1" t="s">
        <v>1959</v>
      </c>
      <c r="D1582" s="3">
        <v>12.54</v>
      </c>
      <c r="E1582" s="4">
        <v>0.02</v>
      </c>
      <c r="F1582" s="4">
        <v>0.01276</v>
      </c>
      <c r="G1582" s="3">
        <v>0.2</v>
      </c>
      <c r="H1582" s="5">
        <v>438.976293</v>
      </c>
      <c r="I1582" s="6">
        <v>1002.229</v>
      </c>
      <c r="J1582" s="4">
        <v>15.997717</v>
      </c>
      <c r="K1582" s="7">
        <v>1.4331</v>
      </c>
    </row>
    <row r="1583" spans="1:13">
      <c r="A1583" s="8" t="s">
        <v>1594</v>
      </c>
      <c r="B1583" s="2">
        <f>HYPERLINK("https://www.suredividend.com/sure-analysis-research-database/","SI-BONE, Inc.")</f>
        <v>0</v>
      </c>
      <c r="C1583" s="1" t="s">
        <v>1965</v>
      </c>
      <c r="D1583" s="3">
        <v>16.96</v>
      </c>
      <c r="F1583" s="4">
        <v>0</v>
      </c>
      <c r="G1583" s="3">
        <v>0</v>
      </c>
      <c r="H1583" s="5">
        <v>736.783493</v>
      </c>
      <c r="J1583" s="4">
        <v>0</v>
      </c>
      <c r="K1583" s="7">
        <v>0.7758</v>
      </c>
      <c r="L1583" s="3">
        <v>21.89</v>
      </c>
      <c r="M1583" s="3">
        <v>12.5</v>
      </c>
    </row>
    <row r="1584" spans="1:13">
      <c r="A1584" s="8" t="s">
        <v>1595</v>
      </c>
      <c r="B1584" s="2">
        <f>HYPERLINK("https://www.suredividend.com/sure-analysis-research-database/","SIGNET JEWELERS LTD")</f>
        <v>0</v>
      </c>
      <c r="C1584" s="1" t="s">
        <v>1963</v>
      </c>
      <c r="D1584" s="3">
        <v>93.95999999999999</v>
      </c>
      <c r="E1584" s="4">
        <v>0.01</v>
      </c>
      <c r="F1584" s="4">
        <v>0.00945</v>
      </c>
      <c r="G1584" s="3">
        <v>1.25</v>
      </c>
      <c r="H1584" s="5">
        <v>3824.337548</v>
      </c>
      <c r="I1584" s="6">
        <v>26.3747</v>
      </c>
      <c r="J1584" s="4">
        <v>0.355172</v>
      </c>
      <c r="K1584" s="7">
        <v>1.2092</v>
      </c>
      <c r="L1584" s="3">
        <v>109.86</v>
      </c>
      <c r="M1584" s="3">
        <v>44.99</v>
      </c>
    </row>
    <row r="1585" spans="1:13">
      <c r="A1585" s="8" t="s">
        <v>1596</v>
      </c>
      <c r="B1585" s="2">
        <f>HYPERLINK("https://www.suredividend.com/sure-analysis-research-database/","SIGA TECHNOLOGIES INC")</f>
        <v>0</v>
      </c>
      <c r="C1585" s="1" t="s">
        <v>1965</v>
      </c>
      <c r="D1585" s="3">
        <v>6.67</v>
      </c>
      <c r="E1585" s="4">
        <v>0.09</v>
      </c>
      <c r="F1585" s="4">
        <v>0.06306</v>
      </c>
      <c r="G1585" s="3">
        <v>0.6</v>
      </c>
      <c r="H1585" s="5">
        <v>476.931271</v>
      </c>
      <c r="I1585" s="6">
        <v>6.4044</v>
      </c>
      <c r="J1585" s="4">
        <v>0.577804</v>
      </c>
      <c r="K1585" s="7">
        <v>1.2717</v>
      </c>
      <c r="L1585" s="3">
        <v>9.619999999999999</v>
      </c>
      <c r="M1585" s="3">
        <v>4.48</v>
      </c>
    </row>
    <row r="1586" spans="1:13">
      <c r="A1586" s="8" t="s">
        <v>1597</v>
      </c>
      <c r="B1586" s="2">
        <f>HYPERLINK("https://www.suredividend.com/sure-analysis-SIGI/","SELECTIVE INSURANCE GROUP INC")</f>
        <v>0</v>
      </c>
      <c r="C1586" s="1" t="s">
        <v>1962</v>
      </c>
      <c r="D1586" s="3">
        <v>82.81</v>
      </c>
      <c r="E1586" s="4">
        <v>0.02077043835285593</v>
      </c>
      <c r="F1586" s="4">
        <v>0.01525</v>
      </c>
      <c r="G1586" s="3">
        <v>1.57</v>
      </c>
      <c r="H1586" s="5">
        <v>5003.687078</v>
      </c>
      <c r="I1586" s="6">
        <v>12.5874</v>
      </c>
      <c r="J1586" s="4">
        <v>0.244521</v>
      </c>
      <c r="K1586" s="7">
        <v>0.3123</v>
      </c>
      <c r="L1586" s="3">
        <v>94.65000000000001</v>
      </c>
      <c r="M1586" s="3">
        <v>71.02</v>
      </c>
    </row>
    <row r="1587" spans="1:13">
      <c r="A1587" s="8" t="s">
        <v>1598</v>
      </c>
      <c r="B1587" s="2">
        <f>HYPERLINK("https://www.suredividend.com/sure-analysis-research-database/","SITE Centers Corp.")</f>
        <v>0</v>
      </c>
      <c r="C1587" s="1" t="s">
        <v>1961</v>
      </c>
      <c r="D1587" s="3">
        <v>6.25</v>
      </c>
      <c r="E1587" s="4">
        <v>1.09</v>
      </c>
      <c r="F1587" s="4">
        <v>1.85573</v>
      </c>
      <c r="G1587" s="3">
        <v>6.75</v>
      </c>
      <c r="H1587" s="5">
        <v>324.217261</v>
      </c>
      <c r="I1587" s="6">
        <v>10.7417</v>
      </c>
      <c r="J1587" s="4">
        <v>6.764232</v>
      </c>
      <c r="K1587" s="7">
        <v>0.9164</v>
      </c>
      <c r="L1587" s="3">
        <v>7.88</v>
      </c>
      <c r="M1587" s="3">
        <v>5.17</v>
      </c>
    </row>
    <row r="1588" spans="1:13">
      <c r="A1588" s="8" t="s">
        <v>1599</v>
      </c>
      <c r="B1588" s="2">
        <f>HYPERLINK("https://www.suredividend.com/sure-analysis-research-database/","SITIME Corp")</f>
        <v>0</v>
      </c>
      <c r="C1588" s="1" t="s">
        <v>1960</v>
      </c>
      <c r="D1588" s="3">
        <v>378.14</v>
      </c>
      <c r="F1588" s="4">
        <v>0</v>
      </c>
      <c r="G1588" s="3">
        <v>0</v>
      </c>
      <c r="H1588" s="5">
        <v>9858.468956999999</v>
      </c>
      <c r="J1588" s="4">
        <v>0</v>
      </c>
      <c r="K1588" s="7">
        <v>2.3364</v>
      </c>
      <c r="L1588" s="3">
        <v>387.52</v>
      </c>
      <c r="M1588" s="3">
        <v>105.4</v>
      </c>
    </row>
    <row r="1589" spans="1:13">
      <c r="A1589" s="8" t="s">
        <v>1600</v>
      </c>
      <c r="B1589" s="2">
        <f>HYPERLINK("https://www.suredividend.com/sure-analysis-research-database/","")</f>
        <v>0</v>
      </c>
      <c r="C1589" s="1" t="s">
        <v>1967</v>
      </c>
      <c r="D1589" s="3">
        <v>52.79</v>
      </c>
      <c r="E1589" s="4">
        <v>0.03</v>
      </c>
      <c r="F1589" s="4">
        <v>0.03001</v>
      </c>
      <c r="G1589" s="3">
        <v>1.68</v>
      </c>
      <c r="H1589" s="5">
        <v>1891.940903</v>
      </c>
      <c r="I1589" s="6">
        <v>17.3131</v>
      </c>
      <c r="J1589" s="4">
        <v>0.520773</v>
      </c>
      <c r="K1589" s="7">
        <v>0.2765</v>
      </c>
      <c r="L1589" s="3">
        <v>55.75</v>
      </c>
      <c r="M1589" s="3">
        <v>43.75</v>
      </c>
    </row>
    <row r="1590" spans="1:13">
      <c r="A1590" s="8" t="s">
        <v>1601</v>
      </c>
      <c r="B1590" s="2">
        <f>HYPERLINK("https://www.suredividend.com/sure-analysis-research-database/","Beauty Health Co")</f>
        <v>0</v>
      </c>
      <c r="C1590" s="1" t="s">
        <v>1959</v>
      </c>
      <c r="D1590" s="3">
        <v>1.54</v>
      </c>
      <c r="F1590" s="4">
        <v>0</v>
      </c>
      <c r="G1590" s="3">
        <v>0</v>
      </c>
      <c r="H1590" s="5">
        <v>196.354711</v>
      </c>
      <c r="J1590" s="4">
        <v>0</v>
      </c>
      <c r="K1590" s="7">
        <v>1.886</v>
      </c>
      <c r="L1590" s="3">
        <v>2.69</v>
      </c>
      <c r="M1590" s="3">
        <v>0.78</v>
      </c>
    </row>
    <row r="1591" spans="1:13">
      <c r="A1591" s="8" t="s">
        <v>1602</v>
      </c>
      <c r="B1591" s="2">
        <f>HYPERLINK("https://www.suredividend.com/sure-analysis-SKT/","TANGER INC.")</f>
        <v>0</v>
      </c>
      <c r="C1591" s="1" t="s">
        <v>1961</v>
      </c>
      <c r="D1591" s="3">
        <v>33.105</v>
      </c>
      <c r="E1591" s="4">
        <v>0.03534209333937472</v>
      </c>
      <c r="F1591" s="4">
        <v>0.02775</v>
      </c>
      <c r="G1591" s="3">
        <v>1.15</v>
      </c>
      <c r="H1591" s="5">
        <v>3810.141132</v>
      </c>
      <c r="I1591" s="6">
        <v>18.0884</v>
      </c>
      <c r="J1591" s="4">
        <v>1.20736</v>
      </c>
      <c r="K1591" s="7">
        <v>0.799</v>
      </c>
      <c r="L1591" s="3">
        <v>35.74</v>
      </c>
      <c r="M1591" s="3">
        <v>28.12</v>
      </c>
    </row>
    <row r="1592" spans="1:13">
      <c r="A1592" s="8" t="s">
        <v>1603</v>
      </c>
      <c r="B1592" s="2">
        <f>HYPERLINK("https://www.suredividend.com/sure-analysis-research-database/","Skyward Specialty Insurance Group, Inc.")</f>
        <v>0</v>
      </c>
      <c r="C1592" s="1" t="s">
        <v>1959</v>
      </c>
      <c r="D1592" s="3">
        <v>45.34</v>
      </c>
      <c r="F1592" s="4">
        <v>0</v>
      </c>
      <c r="G1592" s="3">
        <v>0</v>
      </c>
      <c r="H1592" s="5">
        <v>1835.697129</v>
      </c>
      <c r="I1592" s="6">
        <v>13.0003</v>
      </c>
      <c r="J1592" s="4">
        <v>0</v>
      </c>
      <c r="K1592" s="7">
        <v>0.4507</v>
      </c>
      <c r="L1592" s="3">
        <v>65.05</v>
      </c>
      <c r="M1592" s="3">
        <v>41.28</v>
      </c>
    </row>
    <row r="1593" spans="1:13">
      <c r="A1593" s="8" t="s">
        <v>1604</v>
      </c>
      <c r="B1593" s="2">
        <f>HYPERLINK("https://www.suredividend.com/sure-analysis-research-database/","Champion Homes, Inc.")</f>
        <v>0</v>
      </c>
      <c r="C1593" s="1" t="s">
        <v>1963</v>
      </c>
      <c r="D1593" s="3">
        <v>95.56999999999999</v>
      </c>
      <c r="F1593" s="4">
        <v>0</v>
      </c>
      <c r="G1593" s="3">
        <v>0.62</v>
      </c>
      <c r="H1593" s="5">
        <v>5515.460874</v>
      </c>
      <c r="I1593" s="6">
        <v>24.9827</v>
      </c>
      <c r="J1593" s="4">
        <v>0</v>
      </c>
      <c r="K1593" s="7">
        <v>1.0276</v>
      </c>
      <c r="L1593" s="3">
        <v>110</v>
      </c>
      <c r="M1593" s="3">
        <v>59.44</v>
      </c>
    </row>
    <row r="1594" spans="1:13">
      <c r="A1594" s="8" t="s">
        <v>1605</v>
      </c>
      <c r="B1594" s="2">
        <f>HYPERLINK("https://www.suredividend.com/sure-analysis-research-database/","Skye Bioscience, Inc.")</f>
        <v>0</v>
      </c>
      <c r="C1594" s="1" t="s">
        <v>1959</v>
      </c>
      <c r="D1594" s="3">
        <v>0.9892</v>
      </c>
      <c r="F1594" s="4">
        <v>0</v>
      </c>
      <c r="G1594" s="3">
        <v>0</v>
      </c>
      <c r="H1594" s="5">
        <v>31.435546</v>
      </c>
      <c r="J1594" s="4">
        <v>0</v>
      </c>
      <c r="K1594" s="7">
        <v>-47.6296</v>
      </c>
      <c r="L1594" s="3">
        <v>5.75</v>
      </c>
      <c r="M1594" s="3">
        <v>0.68</v>
      </c>
    </row>
    <row r="1595" spans="1:13">
      <c r="A1595" s="8" t="s">
        <v>1606</v>
      </c>
      <c r="B1595" s="2">
        <f>HYPERLINK("https://www.suredividend.com/sure-analysis-research-database/","Sky Harbour Group Corp")</f>
        <v>0</v>
      </c>
      <c r="C1595" s="1" t="s">
        <v>1959</v>
      </c>
      <c r="D1595" s="3">
        <v>9.615</v>
      </c>
      <c r="F1595" s="4">
        <v>0</v>
      </c>
      <c r="G1595" s="3">
        <v>0</v>
      </c>
      <c r="H1595" s="5">
        <v>733.060513</v>
      </c>
      <c r="J1595" s="4">
        <v>0</v>
      </c>
      <c r="K1595" s="7">
        <v>0.9402</v>
      </c>
      <c r="L1595" s="3">
        <v>14.2</v>
      </c>
      <c r="M1595" s="3">
        <v>8.220000000000001</v>
      </c>
    </row>
    <row r="1596" spans="1:13">
      <c r="A1596" s="8" t="s">
        <v>1607</v>
      </c>
      <c r="B1596" s="2">
        <f>HYPERLINK("https://www.suredividend.com/sure-analysis-research-database/","SkyWater Technology, Inc")</f>
        <v>0</v>
      </c>
      <c r="C1596" s="1" t="s">
        <v>1959</v>
      </c>
      <c r="D1596" s="3">
        <v>35.15</v>
      </c>
      <c r="F1596" s="4">
        <v>0</v>
      </c>
      <c r="G1596" s="3">
        <v>0</v>
      </c>
      <c r="H1596" s="5">
        <v>1643.93612</v>
      </c>
      <c r="I1596" s="6">
        <v>13.046</v>
      </c>
      <c r="J1596" s="4">
        <v>0.02975</v>
      </c>
      <c r="K1596" s="7">
        <v>2.0752</v>
      </c>
      <c r="L1596" s="3">
        <v>36.27</v>
      </c>
      <c r="M1596" s="3">
        <v>5.67</v>
      </c>
    </row>
    <row r="1597" spans="1:13">
      <c r="A1597" s="8" t="s">
        <v>1608</v>
      </c>
      <c r="B1597" s="2">
        <f>HYPERLINK("https://www.suredividend.com/sure-analysis-research-database/","SKYWEST INC")</f>
        <v>0</v>
      </c>
      <c r="C1597" s="1" t="s">
        <v>1964</v>
      </c>
      <c r="D1597" s="3">
        <v>102.03</v>
      </c>
      <c r="F1597" s="4">
        <v>0</v>
      </c>
      <c r="G1597" s="3">
        <v>0.5</v>
      </c>
      <c r="H1597" s="5">
        <v>4089.394683</v>
      </c>
      <c r="I1597" s="6">
        <v>9.422700000000001</v>
      </c>
      <c r="J1597" s="4">
        <v>0</v>
      </c>
      <c r="K1597" s="7">
        <v>1.1253</v>
      </c>
      <c r="L1597" s="3">
        <v>135.57</v>
      </c>
      <c r="M1597" s="3">
        <v>74.7</v>
      </c>
    </row>
    <row r="1598" spans="1:13">
      <c r="A1598" s="8" t="s">
        <v>1609</v>
      </c>
      <c r="B1598" s="2">
        <f>HYPERLINK("https://www.suredividend.com/sure-analysis-research-database/","SILICON LABORATORIES INC.")</f>
        <v>0</v>
      </c>
      <c r="C1598" s="1" t="s">
        <v>1960</v>
      </c>
      <c r="D1598" s="3">
        <v>152.1</v>
      </c>
      <c r="F1598" s="4">
        <v>0</v>
      </c>
      <c r="G1598" s="3">
        <v>0</v>
      </c>
      <c r="H1598" s="5">
        <v>4991.676007</v>
      </c>
      <c r="J1598" s="4">
        <v>0</v>
      </c>
      <c r="K1598" s="7">
        <v>1.6669</v>
      </c>
      <c r="L1598" s="3">
        <v>160</v>
      </c>
      <c r="M1598" s="3">
        <v>82.81999999999999</v>
      </c>
    </row>
    <row r="1599" spans="1:13">
      <c r="A1599" s="8" t="s">
        <v>1610</v>
      </c>
      <c r="B1599" s="2">
        <f>HYPERLINK("https://www.suredividend.com/sure-analysis-research-database/","Solid Biosciences Inc.")</f>
        <v>0</v>
      </c>
      <c r="C1599" s="1" t="s">
        <v>1965</v>
      </c>
      <c r="D1599" s="3">
        <v>6.06</v>
      </c>
      <c r="F1599" s="4">
        <v>0</v>
      </c>
      <c r="G1599" s="3">
        <v>0</v>
      </c>
      <c r="H1599" s="5">
        <v>479.927072</v>
      </c>
      <c r="J1599" s="4">
        <v>0</v>
      </c>
      <c r="K1599" s="7">
        <v>2.4337</v>
      </c>
      <c r="L1599" s="3">
        <v>7.37</v>
      </c>
      <c r="M1599" s="3">
        <v>2.41</v>
      </c>
    </row>
    <row r="1600" spans="1:13">
      <c r="A1600" s="8" t="s">
        <v>1611</v>
      </c>
      <c r="B1600" s="2">
        <f>HYPERLINK("https://www.suredividend.com/sure-analysis-research-database/","Solid Power, Inc.")</f>
        <v>0</v>
      </c>
      <c r="C1600" s="1" t="s">
        <v>1959</v>
      </c>
      <c r="D1600" s="3">
        <v>5.519</v>
      </c>
      <c r="F1600" s="4">
        <v>0</v>
      </c>
      <c r="G1600" s="3">
        <v>0</v>
      </c>
      <c r="H1600" s="5">
        <v>1004.783978</v>
      </c>
      <c r="J1600" s="4">
        <v>0</v>
      </c>
      <c r="K1600" s="7">
        <v>1.968</v>
      </c>
      <c r="L1600" s="3">
        <v>8.859999999999999</v>
      </c>
      <c r="M1600" s="3">
        <v>0.68</v>
      </c>
    </row>
    <row r="1601" spans="1:13">
      <c r="A1601" s="8" t="s">
        <v>1612</v>
      </c>
      <c r="B1601" s="2">
        <f>HYPERLINK("https://www.suredividend.com/sure-analysis-SLG/","SL GREEN REALTY CORP")</f>
        <v>0</v>
      </c>
      <c r="C1601" s="1" t="s">
        <v>1961</v>
      </c>
      <c r="D1601" s="3">
        <v>47.155</v>
      </c>
      <c r="E1601" s="4">
        <v>0.06552857597285547</v>
      </c>
      <c r="F1601" s="4">
        <v>0.07693999999999999</v>
      </c>
      <c r="G1601" s="3">
        <v>3.09</v>
      </c>
      <c r="H1601" s="5">
        <v>3363.807447</v>
      </c>
      <c r="I1601" s="6">
        <v>1628.9624</v>
      </c>
      <c r="J1601" s="4">
        <v>9.999769000000001</v>
      </c>
      <c r="K1601" s="7">
        <v>1.6545</v>
      </c>
      <c r="L1601" s="3">
        <v>65.31999999999999</v>
      </c>
      <c r="M1601" s="3">
        <v>40.26</v>
      </c>
    </row>
    <row r="1602" spans="1:13">
      <c r="A1602" s="8" t="s">
        <v>1613</v>
      </c>
      <c r="B1602" s="2">
        <f>HYPERLINK("https://www.suredividend.com/sure-analysis-research-database/","Southland Holdings, Inc.")</f>
        <v>0</v>
      </c>
      <c r="C1602" s="1" t="s">
        <v>1959</v>
      </c>
      <c r="D1602" s="3">
        <v>3.12</v>
      </c>
      <c r="F1602" s="4">
        <v>0</v>
      </c>
      <c r="G1602" s="3">
        <v>0</v>
      </c>
      <c r="H1602" s="5">
        <v>169.914933</v>
      </c>
      <c r="J1602" s="4">
        <v>0</v>
      </c>
      <c r="K1602" s="7">
        <v>0.7429</v>
      </c>
      <c r="L1602" s="3">
        <v>5.34</v>
      </c>
      <c r="M1602" s="3">
        <v>2.68</v>
      </c>
    </row>
    <row r="1603" spans="1:13">
      <c r="A1603" s="8" t="s">
        <v>1614</v>
      </c>
      <c r="B1603" s="2">
        <f>HYPERLINK("https://www.suredividend.com/sure-analysis-research-database/","SOLENO THERAPEUTICS INC")</f>
        <v>0</v>
      </c>
      <c r="C1603" s="1" t="s">
        <v>1965</v>
      </c>
      <c r="D1603" s="3">
        <v>43.52</v>
      </c>
      <c r="F1603" s="4">
        <v>0</v>
      </c>
      <c r="G1603" s="3">
        <v>0</v>
      </c>
      <c r="H1603" s="5">
        <v>2339.608689</v>
      </c>
      <c r="J1603" s="4">
        <v>0</v>
      </c>
      <c r="K1603" s="7">
        <v>-0.2141</v>
      </c>
      <c r="L1603" s="3">
        <v>90.31999999999999</v>
      </c>
      <c r="M1603" s="3">
        <v>39.43</v>
      </c>
    </row>
    <row r="1604" spans="1:13">
      <c r="A1604" s="8" t="s">
        <v>1615</v>
      </c>
      <c r="B1604" s="2">
        <f>HYPERLINK("https://www.suredividend.com/sure-analysis-research-database/","Simulations Plus, Inc.")</f>
        <v>0</v>
      </c>
      <c r="C1604" s="1" t="s">
        <v>1965</v>
      </c>
      <c r="D1604" s="3">
        <v>20.42</v>
      </c>
      <c r="F1604" s="4">
        <v>0.009339999999999999</v>
      </c>
      <c r="G1604" s="3">
        <v>0.24</v>
      </c>
      <c r="H1604" s="5">
        <v>411.594732</v>
      </c>
      <c r="J1604" s="4">
        <v>0</v>
      </c>
      <c r="K1604" s="7">
        <v>1.2186</v>
      </c>
      <c r="L1604" s="3">
        <v>37.67</v>
      </c>
      <c r="M1604" s="3">
        <v>12.39</v>
      </c>
    </row>
    <row r="1605" spans="1:13">
      <c r="A1605" s="8" t="s">
        <v>1616</v>
      </c>
      <c r="B1605" s="2">
        <f>HYPERLINK("https://www.suredividend.com/sure-analysis-research-database/","SelectQuote, Inc.")</f>
        <v>0</v>
      </c>
      <c r="C1605" s="1" t="s">
        <v>1959</v>
      </c>
      <c r="D1605" s="3">
        <v>1.6</v>
      </c>
      <c r="F1605" s="4">
        <v>0</v>
      </c>
      <c r="G1605" s="3">
        <v>0</v>
      </c>
      <c r="H1605" s="5">
        <v>283.314508</v>
      </c>
      <c r="I1605" s="6">
        <v>13.094</v>
      </c>
      <c r="J1605" s="4">
        <v>0</v>
      </c>
      <c r="K1605" s="7">
        <v>1.1073</v>
      </c>
      <c r="L1605" s="3">
        <v>6.86</v>
      </c>
      <c r="M1605" s="3">
        <v>1.33</v>
      </c>
    </row>
    <row r="1606" spans="1:13">
      <c r="A1606" s="8" t="s">
        <v>1617</v>
      </c>
      <c r="B1606" s="2">
        <f>HYPERLINK("https://www.suredividend.com/sure-analysis-research-database/","ACELYRIN, Inc.")</f>
        <v>0</v>
      </c>
      <c r="C1606" s="1" t="s">
        <v>1959</v>
      </c>
      <c r="D1606" s="3">
        <v>0</v>
      </c>
      <c r="F1606" s="4">
        <v>0</v>
      </c>
      <c r="G1606" s="3">
        <v>0</v>
      </c>
      <c r="H1606" s="5">
        <v>229.164788</v>
      </c>
      <c r="J1606" s="4">
        <v>0</v>
      </c>
      <c r="K1606" s="7">
        <v>0.8763</v>
      </c>
    </row>
    <row r="1607" spans="1:13">
      <c r="A1607" s="8" t="s">
        <v>1618</v>
      </c>
      <c r="B1607" s="2">
        <f>HYPERLINK("https://www.suredividend.com/sure-analysis-research-database/","Sylvamo Corp")</f>
        <v>0</v>
      </c>
      <c r="C1607" s="1" t="s">
        <v>1959</v>
      </c>
      <c r="D1607" s="3">
        <v>51.3</v>
      </c>
      <c r="E1607" s="4">
        <v>0.04</v>
      </c>
      <c r="F1607" s="4">
        <v>0.01926</v>
      </c>
      <c r="G1607" s="3">
        <v>1.8</v>
      </c>
      <c r="H1607" s="5">
        <v>2024.365732</v>
      </c>
      <c r="I1607" s="6">
        <v>11.2465</v>
      </c>
      <c r="J1607" s="4">
        <v>0.411111</v>
      </c>
      <c r="K1607" s="7">
        <v>0.8548</v>
      </c>
      <c r="L1607" s="3">
        <v>79.15000000000001</v>
      </c>
      <c r="M1607" s="3">
        <v>36.79</v>
      </c>
    </row>
    <row r="1608" spans="1:13">
      <c r="A1608" s="8" t="s">
        <v>1619</v>
      </c>
      <c r="B1608" s="2">
        <f>HYPERLINK("https://www.suredividend.com/sure-analysis-research-database/","SM Energy Co")</f>
        <v>0</v>
      </c>
      <c r="C1608" s="1" t="s">
        <v>1969</v>
      </c>
      <c r="D1608" s="3">
        <v>18.7</v>
      </c>
      <c r="E1608" s="4">
        <v>0.05</v>
      </c>
      <c r="F1608" s="4">
        <v>0.02754</v>
      </c>
      <c r="G1608" s="3">
        <v>1</v>
      </c>
      <c r="H1608" s="5">
        <v>2153.61881</v>
      </c>
      <c r="I1608" s="6">
        <v>2.9611</v>
      </c>
      <c r="J1608" s="4">
        <v>0.126028</v>
      </c>
      <c r="K1608" s="7">
        <v>1.0039</v>
      </c>
      <c r="L1608" s="3">
        <v>41.32</v>
      </c>
      <c r="M1608" s="3">
        <v>17.39</v>
      </c>
    </row>
    <row r="1609" spans="1:13">
      <c r="A1609" s="8" t="s">
        <v>1620</v>
      </c>
      <c r="B1609" s="2">
        <f>HYPERLINK("https://www.suredividend.com/sure-analysis-SMBC/","SOUTHERN MISSOURI BANCORP, INC.")</f>
        <v>0</v>
      </c>
      <c r="C1609" s="1" t="s">
        <v>1962</v>
      </c>
      <c r="D1609" s="3">
        <v>63.72</v>
      </c>
      <c r="E1609" s="4">
        <v>0.01569365976145637</v>
      </c>
      <c r="F1609" s="4">
        <v>0.01411</v>
      </c>
      <c r="G1609" s="3">
        <v>0.96</v>
      </c>
      <c r="H1609" s="5">
        <v>713.803483</v>
      </c>
      <c r="I1609" s="6">
        <v>11.5558</v>
      </c>
      <c r="J1609" s="4">
        <v>0.171669</v>
      </c>
      <c r="K1609" s="7">
        <v>0.9883</v>
      </c>
      <c r="L1609" s="3">
        <v>63.54</v>
      </c>
      <c r="M1609" s="3">
        <v>44.51</v>
      </c>
    </row>
    <row r="1610" spans="1:13">
      <c r="A1610" s="8" t="s">
        <v>1621</v>
      </c>
      <c r="B1610" s="2">
        <f>HYPERLINK("https://www.suredividend.com/sure-analysis-research-database/","SMARTFINANCIAL INC.")</f>
        <v>0</v>
      </c>
      <c r="C1610" s="1" t="s">
        <v>1962</v>
      </c>
      <c r="D1610" s="3">
        <v>40.385</v>
      </c>
      <c r="E1610" s="4">
        <v>0.01</v>
      </c>
      <c r="F1610" s="4">
        <v>0.00838</v>
      </c>
      <c r="G1610" s="3">
        <v>0.32</v>
      </c>
      <c r="H1610" s="5">
        <v>687.76096</v>
      </c>
      <c r="I1610" s="6">
        <v>14.8593</v>
      </c>
      <c r="J1610" s="4">
        <v>0.117576</v>
      </c>
      <c r="K1610" s="7">
        <v>0.9971</v>
      </c>
      <c r="L1610" s="3">
        <v>40.08</v>
      </c>
      <c r="M1610" s="3">
        <v>26.12</v>
      </c>
    </row>
    <row r="1611" spans="1:13">
      <c r="A1611" s="8" t="s">
        <v>1622</v>
      </c>
      <c r="B1611" s="2">
        <f>HYPERLINK("https://www.suredividend.com/sure-analysis-research-database/","SEACOR Marine Holdings Inc.")</f>
        <v>0</v>
      </c>
      <c r="C1611" s="1" t="s">
        <v>1964</v>
      </c>
      <c r="D1611" s="3">
        <v>6.32</v>
      </c>
      <c r="F1611" s="4">
        <v>0</v>
      </c>
      <c r="G1611" s="3">
        <v>0</v>
      </c>
      <c r="H1611" s="5">
        <v>170.489957</v>
      </c>
      <c r="J1611" s="4">
        <v>0</v>
      </c>
      <c r="K1611" s="7">
        <v>1.5711</v>
      </c>
      <c r="L1611" s="3">
        <v>7.88</v>
      </c>
      <c r="M1611" s="3">
        <v>3.63</v>
      </c>
    </row>
    <row r="1612" spans="1:13">
      <c r="A1612" s="8" t="s">
        <v>1623</v>
      </c>
      <c r="B1612" s="2">
        <f>HYPERLINK("https://www.suredividend.com/sure-analysis-research-database/","SMITH MIDLAND CORP")</f>
        <v>0</v>
      </c>
      <c r="C1612" s="1" t="s">
        <v>1970</v>
      </c>
      <c r="D1612" s="3">
        <v>36.9</v>
      </c>
      <c r="F1612" s="4">
        <v>0</v>
      </c>
      <c r="G1612" s="3">
        <v>0</v>
      </c>
      <c r="H1612" s="5">
        <v>198.657495</v>
      </c>
      <c r="I1612" s="6">
        <v>20.7276</v>
      </c>
      <c r="J1612" s="4">
        <v>0</v>
      </c>
      <c r="K1612" s="7">
        <v>1.8563</v>
      </c>
      <c r="L1612" s="3">
        <v>43.66</v>
      </c>
      <c r="M1612" s="3">
        <v>25.13</v>
      </c>
    </row>
    <row r="1613" spans="1:13">
      <c r="A1613" s="8" t="s">
        <v>1624</v>
      </c>
      <c r="B1613" s="2">
        <f>HYPERLINK("https://www.suredividend.com/sure-analysis-research-database/","Semler Scientific, Inc.")</f>
        <v>0</v>
      </c>
      <c r="C1613" s="1" t="s">
        <v>1965</v>
      </c>
      <c r="D1613" s="3">
        <v>20.32</v>
      </c>
      <c r="F1613" s="4">
        <v>0</v>
      </c>
      <c r="G1613" s="3">
        <v>0</v>
      </c>
      <c r="H1613" s="5">
        <v>308.200665</v>
      </c>
      <c r="I1613" s="6">
        <v>6.3758</v>
      </c>
      <c r="J1613" s="4">
        <v>0</v>
      </c>
      <c r="K1613" s="7">
        <v>2.001</v>
      </c>
    </row>
    <row r="1614" spans="1:13">
      <c r="A1614" s="8" t="s">
        <v>1625</v>
      </c>
      <c r="B1614" s="2">
        <f>HYPERLINK("https://www.suredividend.com/sure-analysis-research-database/","Summit Therapeutics Inc.")</f>
        <v>0</v>
      </c>
      <c r="C1614" s="1" t="s">
        <v>1965</v>
      </c>
      <c r="D1614" s="3">
        <v>16.92</v>
      </c>
      <c r="F1614" s="4">
        <v>0</v>
      </c>
      <c r="G1614" s="3">
        <v>0</v>
      </c>
      <c r="H1614" s="5">
        <v>12543.856765</v>
      </c>
      <c r="J1614" s="4">
        <v>0</v>
      </c>
      <c r="K1614" s="7">
        <v>2.0622</v>
      </c>
      <c r="L1614" s="3">
        <v>36.91</v>
      </c>
      <c r="M1614" s="3">
        <v>15.55</v>
      </c>
    </row>
    <row r="1615" spans="1:13">
      <c r="A1615" s="8" t="s">
        <v>1626</v>
      </c>
      <c r="B1615" s="2">
        <f>HYPERLINK("https://www.suredividend.com/sure-analysis-research-database/","STANDARD MOTOR PRODUCTS, INC.")</f>
        <v>0</v>
      </c>
      <c r="C1615" s="1" t="s">
        <v>1963</v>
      </c>
      <c r="D1615" s="3">
        <v>40.135</v>
      </c>
      <c r="E1615" s="4">
        <v>0.03</v>
      </c>
      <c r="F1615" s="4">
        <v>0.02951</v>
      </c>
      <c r="G1615" s="3">
        <v>1.24</v>
      </c>
      <c r="H1615" s="5">
        <v>883.48747</v>
      </c>
      <c r="I1615" s="6">
        <v>28.2481</v>
      </c>
      <c r="J1615" s="4">
        <v>0.879373</v>
      </c>
      <c r="K1615" s="7">
        <v>0.8656</v>
      </c>
      <c r="L1615" s="3">
        <v>41.79</v>
      </c>
      <c r="M1615" s="3">
        <v>20.81</v>
      </c>
    </row>
    <row r="1616" spans="1:13">
      <c r="A1616" s="8" t="s">
        <v>1627</v>
      </c>
      <c r="B1616" s="2">
        <f>HYPERLINK("https://www.suredividend.com/sure-analysis-research-database/","Simply Good Foods Co")</f>
        <v>0</v>
      </c>
      <c r="C1616" s="1" t="s">
        <v>1966</v>
      </c>
      <c r="D1616" s="3">
        <v>21.18</v>
      </c>
      <c r="F1616" s="4">
        <v>0</v>
      </c>
      <c r="G1616" s="3">
        <v>0</v>
      </c>
      <c r="H1616" s="5">
        <v>1960.743901</v>
      </c>
      <c r="I1616" s="6">
        <v>21.6034</v>
      </c>
      <c r="J1616" s="4">
        <v>0</v>
      </c>
      <c r="K1616" s="7">
        <v>0.4306</v>
      </c>
      <c r="L1616" s="3">
        <v>40.01</v>
      </c>
      <c r="M1616" s="3">
        <v>18.45</v>
      </c>
    </row>
    <row r="1617" spans="1:13">
      <c r="A1617" s="8" t="s">
        <v>1628</v>
      </c>
      <c r="B1617" s="2">
        <f>HYPERLINK("https://www.suredividend.com/sure-analysis-research-database/","NUSCALE POWER Corp")</f>
        <v>0</v>
      </c>
      <c r="C1617" s="1" t="s">
        <v>1959</v>
      </c>
      <c r="D1617" s="3">
        <v>20.35</v>
      </c>
      <c r="F1617" s="4">
        <v>0</v>
      </c>
      <c r="G1617" s="3">
        <v>0</v>
      </c>
      <c r="H1617" s="5">
        <v>5894.918281</v>
      </c>
      <c r="J1617" s="4">
        <v>0</v>
      </c>
      <c r="K1617" s="7">
        <v>2.8574</v>
      </c>
      <c r="L1617" s="3">
        <v>57.42</v>
      </c>
      <c r="M1617" s="3">
        <v>11.08</v>
      </c>
    </row>
    <row r="1618" spans="1:13">
      <c r="A1618" s="8" t="s">
        <v>1629</v>
      </c>
      <c r="B1618" s="2">
        <f>HYPERLINK("https://www.suredividend.com/sure-analysis-research-database/","SmartRent, Inc.")</f>
        <v>0</v>
      </c>
      <c r="C1618" s="1" t="s">
        <v>1963</v>
      </c>
      <c r="D1618" s="3">
        <v>1.78</v>
      </c>
      <c r="F1618" s="4">
        <v>0</v>
      </c>
      <c r="G1618" s="3">
        <v>0</v>
      </c>
      <c r="H1618" s="5">
        <v>325.425242</v>
      </c>
      <c r="J1618" s="4">
        <v>0</v>
      </c>
      <c r="K1618" s="7">
        <v>1.7187</v>
      </c>
      <c r="L1618" s="3">
        <v>2.2</v>
      </c>
      <c r="M1618" s="3">
        <v>0.67</v>
      </c>
    </row>
    <row r="1619" spans="1:13">
      <c r="A1619" s="8" t="s">
        <v>1630</v>
      </c>
      <c r="B1619" s="2">
        <f>HYPERLINK("https://www.suredividend.com/sure-analysis-research-database/","SEMTECH CORP")</f>
        <v>0</v>
      </c>
      <c r="C1619" s="1" t="s">
        <v>1960</v>
      </c>
      <c r="D1619" s="3">
        <v>81.65000000000001</v>
      </c>
      <c r="F1619" s="4">
        <v>0</v>
      </c>
      <c r="G1619" s="3">
        <v>0</v>
      </c>
      <c r="H1619" s="5">
        <v>7418.93637</v>
      </c>
      <c r="I1619" s="6">
        <v>259.7394</v>
      </c>
      <c r="J1619" s="4">
        <v>0</v>
      </c>
      <c r="K1619" s="7">
        <v>1.9229</v>
      </c>
      <c r="L1619" s="3">
        <v>81.39</v>
      </c>
      <c r="M1619" s="3">
        <v>24.05</v>
      </c>
    </row>
    <row r="1620" spans="1:13">
      <c r="A1620" s="8" t="s">
        <v>1631</v>
      </c>
      <c r="B1620" s="2">
        <f>HYPERLINK("https://www.suredividend.com/sure-analysis-research-database/","Sanara MedTech Inc.")</f>
        <v>0</v>
      </c>
      <c r="C1620" s="1" t="s">
        <v>1965</v>
      </c>
      <c r="D1620" s="3">
        <v>22.78</v>
      </c>
      <c r="F1620" s="4">
        <v>0</v>
      </c>
      <c r="G1620" s="3">
        <v>0</v>
      </c>
      <c r="H1620" s="5">
        <v>203.643623</v>
      </c>
      <c r="J1620" s="4">
        <v>0</v>
      </c>
      <c r="K1620" s="7">
        <v>1.0205</v>
      </c>
      <c r="L1620" s="3">
        <v>38.68</v>
      </c>
      <c r="M1620" s="3">
        <v>18.9</v>
      </c>
    </row>
    <row r="1621" spans="1:13">
      <c r="A1621" s="8" t="s">
        <v>1632</v>
      </c>
      <c r="B1621" s="2">
        <f>HYPERLINK("https://www.suredividend.com/sure-analysis-research-database/","SolarMax Technology, Inc.")</f>
        <v>0</v>
      </c>
      <c r="C1621" s="1" t="s">
        <v>1959</v>
      </c>
      <c r="D1621" s="3">
        <v>0.792</v>
      </c>
      <c r="F1621" s="4">
        <v>0</v>
      </c>
      <c r="G1621" s="3">
        <v>0</v>
      </c>
      <c r="H1621" s="5">
        <v>40.569734</v>
      </c>
      <c r="J1621" s="4">
        <v>0</v>
      </c>
      <c r="K1621" s="7">
        <v>1.3646</v>
      </c>
      <c r="L1621" s="3">
        <v>2.5</v>
      </c>
      <c r="M1621" s="3">
        <v>0.7</v>
      </c>
    </row>
    <row r="1622" spans="1:13">
      <c r="A1622" s="8" t="s">
        <v>1633</v>
      </c>
      <c r="B1622" s="2">
        <f>HYPERLINK("https://www.suredividend.com/sure-analysis-research-database/","Sleep Number Corp")</f>
        <v>0</v>
      </c>
      <c r="C1622" s="1" t="s">
        <v>1963</v>
      </c>
      <c r="D1622" s="3">
        <v>10.535</v>
      </c>
      <c r="F1622" s="4">
        <v>0</v>
      </c>
      <c r="G1622" s="3">
        <v>0</v>
      </c>
      <c r="H1622" s="5">
        <v>240.4345</v>
      </c>
      <c r="J1622" s="4">
        <v>0</v>
      </c>
      <c r="K1622" s="7">
        <v>2.5362</v>
      </c>
      <c r="L1622" s="3">
        <v>19.13</v>
      </c>
      <c r="M1622" s="3">
        <v>3.49</v>
      </c>
    </row>
    <row r="1623" spans="1:13">
      <c r="A1623" s="8" t="s">
        <v>1634</v>
      </c>
      <c r="B1623" s="2">
        <f>HYPERLINK("https://www.suredividend.com/sure-analysis-research-database/","Sun Country Airlines Holdings, Inc.")</f>
        <v>0</v>
      </c>
      <c r="C1623" s="1" t="s">
        <v>1959</v>
      </c>
      <c r="D1623" s="3">
        <v>17.77</v>
      </c>
      <c r="F1623" s="4">
        <v>0</v>
      </c>
      <c r="G1623" s="3">
        <v>0</v>
      </c>
      <c r="H1623" s="5">
        <v>938.847632</v>
      </c>
      <c r="I1623" s="6">
        <v>16.1592</v>
      </c>
      <c r="J1623" s="4">
        <v>0</v>
      </c>
      <c r="K1623" s="7">
        <v>1.193</v>
      </c>
      <c r="L1623" s="3">
        <v>18.59</v>
      </c>
      <c r="M1623" s="3">
        <v>8.1</v>
      </c>
    </row>
    <row r="1624" spans="1:13">
      <c r="A1624" s="8" t="s">
        <v>1635</v>
      </c>
      <c r="B1624" s="2">
        <f>HYPERLINK("https://www.suredividend.com/sure-analysis-research-database/","SONIDA SENIOR LIVING, INC.")</f>
        <v>0</v>
      </c>
      <c r="C1624" s="1" t="s">
        <v>1959</v>
      </c>
      <c r="D1624" s="3">
        <v>31.925</v>
      </c>
      <c r="F1624" s="4">
        <v>0</v>
      </c>
      <c r="G1624" s="3">
        <v>0</v>
      </c>
      <c r="H1624" s="5">
        <v>600.452492</v>
      </c>
      <c r="K1624" s="7">
        <v>0.4309</v>
      </c>
      <c r="L1624" s="3">
        <v>33.5</v>
      </c>
      <c r="M1624" s="3">
        <v>19.34</v>
      </c>
    </row>
    <row r="1625" spans="1:13">
      <c r="A1625" s="8" t="s">
        <v>1636</v>
      </c>
      <c r="B1625" s="2">
        <f>HYPERLINK("https://www.suredividend.com/sure-analysis-research-database/","Syndax Pharmaceuticals Inc")</f>
        <v>0</v>
      </c>
      <c r="C1625" s="1" t="s">
        <v>1965</v>
      </c>
      <c r="D1625" s="3">
        <v>20.79</v>
      </c>
      <c r="F1625" s="4">
        <v>0</v>
      </c>
      <c r="G1625" s="3">
        <v>0</v>
      </c>
      <c r="H1625" s="5">
        <v>1783.492476</v>
      </c>
      <c r="J1625" s="4">
        <v>0</v>
      </c>
      <c r="K1625" s="7">
        <v>1.3966</v>
      </c>
      <c r="L1625" s="3">
        <v>22.73</v>
      </c>
      <c r="M1625" s="3">
        <v>8.58</v>
      </c>
    </row>
    <row r="1626" spans="1:13">
      <c r="A1626" s="8" t="s">
        <v>1637</v>
      </c>
      <c r="B1626" s="2">
        <f>HYPERLINK("https://www.suredividend.com/sure-analysis-research-database/","StoneX Group Inc.")</f>
        <v>0</v>
      </c>
      <c r="C1626" s="1" t="s">
        <v>1959</v>
      </c>
      <c r="D1626" s="3">
        <v>110.14</v>
      </c>
      <c r="F1626" s="4">
        <v>0</v>
      </c>
      <c r="G1626" s="3">
        <v>0</v>
      </c>
      <c r="H1626" s="5">
        <v>5754.664594</v>
      </c>
      <c r="I1626" s="6">
        <v>18.8122</v>
      </c>
      <c r="J1626" s="4">
        <v>0</v>
      </c>
      <c r="K1626" s="7">
        <v>0.8075</v>
      </c>
      <c r="L1626" s="3">
        <v>110.54</v>
      </c>
      <c r="M1626" s="3">
        <v>65</v>
      </c>
    </row>
    <row r="1627" spans="1:13">
      <c r="A1627" s="8" t="s">
        <v>1638</v>
      </c>
      <c r="B1627" s="2">
        <f>HYPERLINK("https://www.suredividend.com/sure-analysis-research-database/","Sable Offshore Corp.")</f>
        <v>0</v>
      </c>
      <c r="C1627" s="1" t="s">
        <v>1959</v>
      </c>
      <c r="D1627" s="3">
        <v>11.51</v>
      </c>
      <c r="F1627" s="4">
        <v>0</v>
      </c>
      <c r="G1627" s="3">
        <v>0</v>
      </c>
      <c r="H1627" s="5">
        <v>1678.657598</v>
      </c>
      <c r="J1627" s="4">
        <v>0</v>
      </c>
      <c r="K1627" s="7">
        <v>1.529</v>
      </c>
      <c r="L1627" s="3">
        <v>35</v>
      </c>
      <c r="M1627" s="3">
        <v>3.72</v>
      </c>
    </row>
    <row r="1628" spans="1:13">
      <c r="A1628" s="8" t="s">
        <v>1639</v>
      </c>
      <c r="B1628" s="2">
        <f>HYPERLINK("https://www.suredividend.com/sure-analysis-research-database/","Sonos Inc")</f>
        <v>0</v>
      </c>
      <c r="C1628" s="1" t="s">
        <v>1960</v>
      </c>
      <c r="D1628" s="3">
        <v>15.58</v>
      </c>
      <c r="F1628" s="4">
        <v>0</v>
      </c>
      <c r="G1628" s="3">
        <v>0</v>
      </c>
      <c r="H1628" s="5">
        <v>1872.146936</v>
      </c>
      <c r="J1628" s="4">
        <v>0</v>
      </c>
      <c r="K1628" s="7">
        <v>1.6292</v>
      </c>
      <c r="L1628" s="3">
        <v>19.82</v>
      </c>
      <c r="M1628" s="3">
        <v>7.63</v>
      </c>
    </row>
    <row r="1629" spans="1:13">
      <c r="A1629" s="8" t="s">
        <v>1640</v>
      </c>
      <c r="B1629" s="2">
        <f>HYPERLINK("https://www.suredividend.com/sure-analysis-research-database/","SOUNDHOUND AI, INC.")</f>
        <v>0</v>
      </c>
      <c r="C1629" s="1" t="s">
        <v>1959</v>
      </c>
      <c r="D1629" s="3">
        <v>10.75</v>
      </c>
      <c r="F1629" s="4">
        <v>0</v>
      </c>
      <c r="G1629" s="3">
        <v>0</v>
      </c>
      <c r="H1629" s="5">
        <v>4461.418044</v>
      </c>
      <c r="J1629" s="4">
        <v>0</v>
      </c>
      <c r="K1629" s="7">
        <v>3.341</v>
      </c>
      <c r="L1629" s="3">
        <v>22.17</v>
      </c>
      <c r="M1629" s="3">
        <v>6.52</v>
      </c>
    </row>
    <row r="1630" spans="1:13">
      <c r="A1630" s="8" t="s">
        <v>1641</v>
      </c>
      <c r="B1630" s="2">
        <f>HYPERLINK("https://www.suredividend.com/sure-analysis-research-database/","Virgin Galactic Holdings, Inc")</f>
        <v>0</v>
      </c>
      <c r="C1630" s="1" t="s">
        <v>1964</v>
      </c>
      <c r="D1630" s="3">
        <v>3.03</v>
      </c>
      <c r="F1630" s="4">
        <v>0</v>
      </c>
      <c r="G1630" s="3">
        <v>0</v>
      </c>
      <c r="H1630" s="5">
        <v>189.600735</v>
      </c>
      <c r="J1630" s="4">
        <v>0</v>
      </c>
      <c r="K1630" s="7">
        <v>2.4701</v>
      </c>
      <c r="L1630" s="3">
        <v>6.64</v>
      </c>
      <c r="M1630" s="3">
        <v>2.18</v>
      </c>
    </row>
    <row r="1631" spans="1:13">
      <c r="A1631" s="8" t="s">
        <v>1642</v>
      </c>
      <c r="B1631" s="2">
        <f>HYPERLINK("https://www.suredividend.com/sure-analysis-SPFI/","SOUTH PLAINS FINANCIAL, INC.")</f>
        <v>0</v>
      </c>
      <c r="C1631" s="1" t="s">
        <v>1962</v>
      </c>
      <c r="D1631" s="3">
        <v>42.485</v>
      </c>
      <c r="E1631" s="4">
        <v>0.0150641402848064</v>
      </c>
      <c r="F1631" s="4">
        <v>0.01268</v>
      </c>
      <c r="G1631" s="3">
        <v>0.62</v>
      </c>
      <c r="H1631" s="5">
        <v>690.871628</v>
      </c>
      <c r="I1631" s="6">
        <v>11.5697</v>
      </c>
      <c r="J1631" s="4">
        <v>0.166695</v>
      </c>
      <c r="K1631" s="7">
        <v>0.7496</v>
      </c>
      <c r="L1631" s="3">
        <v>42.56</v>
      </c>
      <c r="M1631" s="3">
        <v>29.63</v>
      </c>
    </row>
    <row r="1632" spans="1:13">
      <c r="A1632" s="8" t="s">
        <v>1643</v>
      </c>
      <c r="B1632" s="2">
        <f>HYPERLINK("https://www.suredividend.com/sure-analysis-research-database/","Sphere Entertainment Co.")</f>
        <v>0</v>
      </c>
      <c r="C1632" s="1" t="s">
        <v>1959</v>
      </c>
      <c r="D1632" s="3">
        <v>95</v>
      </c>
      <c r="F1632" s="4">
        <v>0</v>
      </c>
      <c r="G1632" s="3">
        <v>0</v>
      </c>
      <c r="H1632" s="5">
        <v>3289.523412</v>
      </c>
      <c r="J1632" s="4">
        <v>0</v>
      </c>
      <c r="K1632" s="7">
        <v>1.7036</v>
      </c>
      <c r="L1632" s="3">
        <v>101.89</v>
      </c>
      <c r="M1632" s="3">
        <v>23.89</v>
      </c>
    </row>
    <row r="1633" spans="1:13">
      <c r="A1633" s="8" t="s">
        <v>1644</v>
      </c>
      <c r="B1633" s="2">
        <f>HYPERLINK("https://www.suredividend.com/sure-analysis-research-database/","Spire Global, Inc.")</f>
        <v>0</v>
      </c>
      <c r="C1633" s="1" t="s">
        <v>1960</v>
      </c>
      <c r="D1633" s="3">
        <v>11.92</v>
      </c>
      <c r="F1633" s="4">
        <v>0</v>
      </c>
      <c r="G1633" s="3">
        <v>0</v>
      </c>
      <c r="H1633" s="5">
        <v>400.409758</v>
      </c>
      <c r="I1633" s="6">
        <v>12.9102</v>
      </c>
      <c r="J1633" s="4">
        <v>0</v>
      </c>
      <c r="K1633" s="7">
        <v>2.1824</v>
      </c>
      <c r="L1633" s="3">
        <v>21.43</v>
      </c>
      <c r="M1633" s="3">
        <v>6.6</v>
      </c>
    </row>
    <row r="1634" spans="1:13">
      <c r="A1634" s="8" t="s">
        <v>1645</v>
      </c>
      <c r="B1634" s="2">
        <f>HYPERLINK("https://www.suredividend.com/sure-analysis-research-database/","SAPIENS INTERNATIONAL CORP N V")</f>
        <v>0</v>
      </c>
      <c r="C1634" s="1" t="s">
        <v>1960</v>
      </c>
      <c r="D1634" s="3">
        <v>43.45</v>
      </c>
      <c r="E1634" s="4">
        <v>0.02</v>
      </c>
      <c r="F1634" s="4">
        <v>0.01293</v>
      </c>
      <c r="G1634" s="3">
        <v>0.95</v>
      </c>
      <c r="J1634" s="4">
        <v>0.497152</v>
      </c>
      <c r="K1634" s="7">
        <v>0.9742</v>
      </c>
    </row>
    <row r="1635" spans="1:13">
      <c r="A1635" s="8" t="s">
        <v>1646</v>
      </c>
      <c r="B1635" s="2">
        <f>HYPERLINK("https://www.suredividend.com/sure-analysis-research-database/","SiriusPoint Ltd")</f>
        <v>0</v>
      </c>
      <c r="C1635" s="1" t="s">
        <v>1959</v>
      </c>
      <c r="D1635" s="3">
        <v>19.86</v>
      </c>
      <c r="F1635" s="4">
        <v>0</v>
      </c>
      <c r="G1635" s="3">
        <v>0</v>
      </c>
      <c r="H1635" s="5">
        <v>2337.460946</v>
      </c>
      <c r="I1635" s="6">
        <v>11.7875</v>
      </c>
      <c r="J1635" s="4">
        <v>0.080402</v>
      </c>
      <c r="K1635" s="7">
        <v>0.5708</v>
      </c>
      <c r="L1635" s="3">
        <v>22.89</v>
      </c>
      <c r="M1635" s="3">
        <v>13.26</v>
      </c>
    </row>
    <row r="1636" spans="1:13">
      <c r="A1636" s="8" t="s">
        <v>1647</v>
      </c>
      <c r="B1636" s="2">
        <f>HYPERLINK("https://www.suredividend.com/sure-analysis-research-database/","Spok Holdings, Inc")</f>
        <v>0</v>
      </c>
      <c r="C1636" s="1" t="s">
        <v>1968</v>
      </c>
      <c r="D1636" s="3">
        <v>13.54</v>
      </c>
      <c r="E1636" s="4">
        <v>0.09</v>
      </c>
      <c r="F1636" s="4">
        <v>0.08436</v>
      </c>
      <c r="G1636" s="3">
        <v>1.25</v>
      </c>
      <c r="H1636" s="5">
        <v>279.311172</v>
      </c>
      <c r="I1636" s="6">
        <v>16.831</v>
      </c>
      <c r="J1636" s="4">
        <v>1.638867</v>
      </c>
      <c r="K1636" s="7">
        <v>0.5696</v>
      </c>
      <c r="L1636" s="3">
        <v>18.54</v>
      </c>
      <c r="M1636" s="3">
        <v>12.26</v>
      </c>
    </row>
    <row r="1637" spans="1:13">
      <c r="A1637" s="8" t="s">
        <v>1648</v>
      </c>
      <c r="B1637" s="2">
        <f>HYPERLINK("https://www.suredividend.com/sure-analysis-research-database/","ARS Pharmaceuticals, Inc.")</f>
        <v>0</v>
      </c>
      <c r="C1637" s="1" t="s">
        <v>1959</v>
      </c>
      <c r="D1637" s="3">
        <v>10.69</v>
      </c>
      <c r="F1637" s="4">
        <v>0</v>
      </c>
      <c r="G1637" s="3">
        <v>0</v>
      </c>
      <c r="H1637" s="5">
        <v>1031.979499</v>
      </c>
      <c r="J1637" s="4">
        <v>0</v>
      </c>
      <c r="K1637" s="7">
        <v>1.51</v>
      </c>
      <c r="L1637" s="3">
        <v>18.9</v>
      </c>
      <c r="M1637" s="3">
        <v>6.66</v>
      </c>
    </row>
    <row r="1638" spans="1:13">
      <c r="A1638" s="8" t="s">
        <v>1649</v>
      </c>
      <c r="B1638" s="2">
        <f>HYPERLINK("https://www.suredividend.com/sure-analysis-research-database/","SPS COMMERCE INC")</f>
        <v>0</v>
      </c>
      <c r="C1638" s="1" t="s">
        <v>1960</v>
      </c>
      <c r="D1638" s="3">
        <v>91.13</v>
      </c>
      <c r="F1638" s="4">
        <v>0</v>
      </c>
      <c r="G1638" s="3">
        <v>0</v>
      </c>
      <c r="H1638" s="5">
        <v>3436.429736</v>
      </c>
      <c r="I1638" s="6">
        <v>40.4015</v>
      </c>
      <c r="J1638" s="4">
        <v>0</v>
      </c>
      <c r="K1638" s="7">
        <v>1.1453</v>
      </c>
      <c r="L1638" s="3">
        <v>197.59</v>
      </c>
      <c r="M1638" s="3">
        <v>73.05</v>
      </c>
    </row>
    <row r="1639" spans="1:13">
      <c r="A1639" s="8" t="s">
        <v>1650</v>
      </c>
      <c r="B1639" s="2">
        <f>HYPERLINK("https://www.suredividend.com/sure-analysis-research-database/","Sprout Social, Inc.")</f>
        <v>0</v>
      </c>
      <c r="C1639" s="1" t="s">
        <v>1960</v>
      </c>
      <c r="D1639" s="3">
        <v>9.48</v>
      </c>
      <c r="F1639" s="4">
        <v>0</v>
      </c>
      <c r="G1639" s="3">
        <v>0</v>
      </c>
      <c r="H1639" s="5">
        <v>562.890709</v>
      </c>
      <c r="J1639" s="4">
        <v>0</v>
      </c>
      <c r="K1639" s="7">
        <v>1.5313</v>
      </c>
      <c r="L1639" s="3">
        <v>35.18</v>
      </c>
      <c r="M1639" s="3">
        <v>9.16</v>
      </c>
    </row>
    <row r="1640" spans="1:13">
      <c r="A1640" s="8" t="s">
        <v>1651</v>
      </c>
      <c r="B1640" s="2">
        <f>HYPERLINK("https://www.suredividend.com/sure-analysis-research-database/","SpartanNash Co")</f>
        <v>0</v>
      </c>
      <c r="C1640" s="1" t="s">
        <v>1966</v>
      </c>
      <c r="D1640" s="3">
        <v>26.9</v>
      </c>
      <c r="E1640" s="4">
        <v>0.04</v>
      </c>
      <c r="F1640" s="4">
        <v>0.02996</v>
      </c>
      <c r="G1640" s="3">
        <v>1.09</v>
      </c>
      <c r="H1640" s="5">
        <v>910.782675</v>
      </c>
      <c r="K1640" s="7">
        <v>0.3912</v>
      </c>
    </row>
    <row r="1641" spans="1:13">
      <c r="A1641" s="8" t="s">
        <v>1652</v>
      </c>
      <c r="B1641" s="2">
        <f>HYPERLINK("https://www.suredividend.com/sure-analysis-research-database/","SPX Technologies, Inc.")</f>
        <v>0</v>
      </c>
      <c r="C1641" s="1" t="s">
        <v>1964</v>
      </c>
      <c r="D1641" s="3">
        <v>222</v>
      </c>
      <c r="F1641" s="4">
        <v>0</v>
      </c>
      <c r="G1641" s="3">
        <v>0.39</v>
      </c>
      <c r="H1641" s="5">
        <v>11006.684653</v>
      </c>
      <c r="I1641" s="6">
        <v>49.3131</v>
      </c>
      <c r="J1641" s="4">
        <v>0</v>
      </c>
      <c r="K1641" s="7">
        <v>1.2847</v>
      </c>
      <c r="L1641" s="3">
        <v>233.71</v>
      </c>
      <c r="M1641" s="3">
        <v>115</v>
      </c>
    </row>
    <row r="1642" spans="1:13">
      <c r="A1642" s="8" t="s">
        <v>1653</v>
      </c>
      <c r="B1642" s="2">
        <f>HYPERLINK("https://www.suredividend.com/sure-analysis-SR/","SPIRE MISSOURI INC")</f>
        <v>0</v>
      </c>
      <c r="C1642" s="1" t="s">
        <v>1967</v>
      </c>
      <c r="D1642" s="3">
        <v>84</v>
      </c>
      <c r="E1642" s="4">
        <v>0.03928571428571428</v>
      </c>
      <c r="F1642" s="4">
        <v>0.03551</v>
      </c>
      <c r="G1642" s="3">
        <v>3.18</v>
      </c>
      <c r="H1642" s="5">
        <v>5152.743793</v>
      </c>
      <c r="I1642" s="6">
        <v>20.0808</v>
      </c>
      <c r="J1642" s="4">
        <v>0.8594039999999999</v>
      </c>
      <c r="K1642" s="7">
        <v>0.3189</v>
      </c>
      <c r="L1642" s="3">
        <v>90.2</v>
      </c>
      <c r="M1642" s="3">
        <v>65.7</v>
      </c>
    </row>
    <row r="1643" spans="1:13">
      <c r="A1643" s="8" t="s">
        <v>1654</v>
      </c>
      <c r="B1643" s="2">
        <f>HYPERLINK("https://www.suredividend.com/sure-analysis-SRCE/","1ST SOURCE CORP")</f>
        <v>0</v>
      </c>
      <c r="C1643" s="1" t="s">
        <v>1962</v>
      </c>
      <c r="D1643" s="3">
        <v>67.31999999999999</v>
      </c>
      <c r="E1643" s="4">
        <v>0.02376708259061201</v>
      </c>
      <c r="F1643" s="4">
        <v>0.02105</v>
      </c>
      <c r="G1643" s="3">
        <v>1.52</v>
      </c>
      <c r="H1643" s="5">
        <v>1646.89905</v>
      </c>
      <c r="I1643" s="6">
        <v>11.0848</v>
      </c>
      <c r="J1643" s="4">
        <v>0.252011</v>
      </c>
      <c r="K1643" s="7">
        <v>0.7199</v>
      </c>
      <c r="L1643" s="3">
        <v>67.39</v>
      </c>
      <c r="M1643" s="3">
        <v>51.14</v>
      </c>
    </row>
    <row r="1644" spans="1:13">
      <c r="A1644" s="8" t="s">
        <v>1655</v>
      </c>
      <c r="B1644" s="2">
        <f>HYPERLINK("https://www.suredividend.com/sure-analysis-research-database/","SURMODICS INC")</f>
        <v>0</v>
      </c>
      <c r="C1644" s="1" t="s">
        <v>1965</v>
      </c>
      <c r="D1644" s="3">
        <v>42.99</v>
      </c>
      <c r="F1644" s="4">
        <v>0</v>
      </c>
      <c r="G1644" s="3">
        <v>0</v>
      </c>
      <c r="H1644" s="5">
        <v>614.511837</v>
      </c>
      <c r="J1644" s="4">
        <v>0</v>
      </c>
      <c r="K1644" s="7">
        <v>1.0622</v>
      </c>
    </row>
    <row r="1645" spans="1:13">
      <c r="A1645" s="8" t="s">
        <v>1656</v>
      </c>
      <c r="B1645" s="2">
        <f>HYPERLINK("https://www.suredividend.com/sure-analysis-research-database/","STONERIDGE INC")</f>
        <v>0</v>
      </c>
      <c r="C1645" s="1" t="s">
        <v>1963</v>
      </c>
      <c r="D1645" s="3">
        <v>5.85</v>
      </c>
      <c r="F1645" s="4">
        <v>0</v>
      </c>
      <c r="G1645" s="3">
        <v>0</v>
      </c>
      <c r="H1645" s="5">
        <v>163.899046</v>
      </c>
      <c r="J1645" s="4">
        <v>0</v>
      </c>
      <c r="K1645" s="7">
        <v>1.5263</v>
      </c>
      <c r="L1645" s="3">
        <v>9.1</v>
      </c>
      <c r="M1645" s="3">
        <v>3.54</v>
      </c>
    </row>
    <row r="1646" spans="1:13">
      <c r="A1646" s="8" t="s">
        <v>1657</v>
      </c>
      <c r="B1646" s="2">
        <f>HYPERLINK("https://www.suredividend.com/sure-analysis-research-database/","Scholar Rock Holding Corp")</f>
        <v>0</v>
      </c>
      <c r="C1646" s="1" t="s">
        <v>1965</v>
      </c>
      <c r="D1646" s="3">
        <v>46.03</v>
      </c>
      <c r="F1646" s="4">
        <v>0</v>
      </c>
      <c r="G1646" s="3">
        <v>0</v>
      </c>
      <c r="H1646" s="5">
        <v>4697.443395</v>
      </c>
      <c r="J1646" s="4">
        <v>0</v>
      </c>
      <c r="K1646" s="7">
        <v>1.4404</v>
      </c>
      <c r="L1646" s="3">
        <v>48.28</v>
      </c>
      <c r="M1646" s="3">
        <v>22.71</v>
      </c>
    </row>
    <row r="1647" spans="1:13">
      <c r="A1647" s="8" t="s">
        <v>1658</v>
      </c>
      <c r="B1647" s="2">
        <f>HYPERLINK("https://www.suredividend.com/sure-analysis-SSB/","SouthState Corp")</f>
        <v>0</v>
      </c>
      <c r="C1647" s="1" t="s">
        <v>1962</v>
      </c>
      <c r="D1647" s="3">
        <v>99.40000000000001</v>
      </c>
      <c r="E1647" s="4">
        <v>0.02414486921529175</v>
      </c>
      <c r="F1647" s="4">
        <v>0.02232</v>
      </c>
      <c r="G1647" s="3">
        <v>2.28</v>
      </c>
      <c r="H1647" s="5">
        <v>10108.829856</v>
      </c>
      <c r="I1647" s="6">
        <v>14.5425</v>
      </c>
      <c r="J1647" s="4">
        <v>0.30575</v>
      </c>
      <c r="K1647" s="7">
        <v>0.9874000000000001</v>
      </c>
      <c r="L1647" s="3">
        <v>106.99</v>
      </c>
      <c r="M1647" s="3">
        <v>76.23999999999999</v>
      </c>
    </row>
    <row r="1648" spans="1:13">
      <c r="A1648" s="8" t="s">
        <v>1659</v>
      </c>
      <c r="B1648" s="2">
        <f>HYPERLINK("https://www.suredividend.com/sure-analysis-research-database/","Southern States Bancshares, Inc.")</f>
        <v>0</v>
      </c>
      <c r="C1648" s="1" t="s">
        <v>1959</v>
      </c>
      <c r="D1648" s="3">
        <v>36.31</v>
      </c>
      <c r="E1648" s="4">
        <v>0.01</v>
      </c>
      <c r="F1648" s="4">
        <v>0.00742</v>
      </c>
      <c r="G1648" s="3">
        <v>0.36</v>
      </c>
      <c r="H1648" s="5">
        <v>360.92526</v>
      </c>
      <c r="I1648" s="6">
        <v>9.728400000000001</v>
      </c>
      <c r="J1648" s="4">
        <v>0.09186</v>
      </c>
      <c r="K1648" s="7">
        <v>0.4573</v>
      </c>
    </row>
    <row r="1649" spans="1:13">
      <c r="A1649" s="8" t="s">
        <v>1660</v>
      </c>
      <c r="B1649" s="2">
        <f>HYPERLINK("https://www.suredividend.com/sure-analysis-research-database/","E.W. SCRIPPS Co")</f>
        <v>0</v>
      </c>
      <c r="C1649" s="1" t="s">
        <v>1968</v>
      </c>
      <c r="D1649" s="3">
        <v>3.32</v>
      </c>
      <c r="F1649" s="4">
        <v>0</v>
      </c>
      <c r="G1649" s="3">
        <v>0.2</v>
      </c>
      <c r="H1649" s="5">
        <v>303.703285</v>
      </c>
      <c r="J1649" s="4">
        <v>0</v>
      </c>
      <c r="K1649" s="7">
        <v>0.4295</v>
      </c>
      <c r="L1649" s="3">
        <v>4.98</v>
      </c>
      <c r="M1649" s="3">
        <v>1.36</v>
      </c>
    </row>
    <row r="1650" spans="1:13">
      <c r="A1650" s="8" t="s">
        <v>1661</v>
      </c>
      <c r="B1650" s="2">
        <f>HYPERLINK("https://www.suredividend.com/sure-analysis-research-database/","SSR MINING INC.")</f>
        <v>0</v>
      </c>
      <c r="C1650" s="1" t="s">
        <v>1970</v>
      </c>
      <c r="D1650" s="3">
        <v>23.38</v>
      </c>
      <c r="F1650" s="4">
        <v>0.00684</v>
      </c>
      <c r="G1650" s="3">
        <v>0.28</v>
      </c>
      <c r="H1650" s="5">
        <v>4695.416345</v>
      </c>
      <c r="I1650" s="6">
        <v>21.3572</v>
      </c>
      <c r="J1650" s="4">
        <v>0</v>
      </c>
      <c r="K1650" s="7">
        <v>0.8099</v>
      </c>
      <c r="L1650" s="3">
        <v>25.98</v>
      </c>
      <c r="M1650" s="3">
        <v>7.56</v>
      </c>
    </row>
    <row r="1651" spans="1:13">
      <c r="A1651" s="8" t="s">
        <v>1662</v>
      </c>
      <c r="B1651" s="2">
        <f>HYPERLINK("https://www.suredividend.com/sure-analysis-research-database/","System1, Inc.")</f>
        <v>0</v>
      </c>
      <c r="C1651" s="1" t="s">
        <v>1959</v>
      </c>
      <c r="D1651" s="3">
        <v>4.14</v>
      </c>
      <c r="F1651" s="4">
        <v>0</v>
      </c>
      <c r="G1651" s="3">
        <v>0</v>
      </c>
      <c r="H1651" s="5">
        <v>41.791339</v>
      </c>
      <c r="K1651" s="7">
        <v>1.3495</v>
      </c>
      <c r="L1651" s="3">
        <v>15</v>
      </c>
      <c r="M1651" s="3">
        <v>2.9</v>
      </c>
    </row>
    <row r="1652" spans="1:13">
      <c r="A1652" s="8" t="s">
        <v>1663</v>
      </c>
      <c r="B1652" s="2">
        <f>HYPERLINK("https://www.suredividend.com/sure-analysis-research-database/","SOUNDTHINKING, INC.")</f>
        <v>0</v>
      </c>
      <c r="C1652" s="1" t="s">
        <v>1960</v>
      </c>
      <c r="D1652" s="3">
        <v>7.34</v>
      </c>
      <c r="F1652" s="4">
        <v>0</v>
      </c>
      <c r="G1652" s="3">
        <v>0</v>
      </c>
      <c r="H1652" s="5">
        <v>93.714583</v>
      </c>
      <c r="J1652" s="4">
        <v>0</v>
      </c>
      <c r="K1652" s="7">
        <v>1.3812</v>
      </c>
      <c r="L1652" s="3">
        <v>19.43</v>
      </c>
      <c r="M1652" s="3">
        <v>5.78</v>
      </c>
    </row>
    <row r="1653" spans="1:13">
      <c r="A1653" s="8" t="s">
        <v>1664</v>
      </c>
      <c r="B1653" s="2">
        <f>HYPERLINK("https://www.suredividend.com/sure-analysis-SSTK/","Shutterstock, Inc.")</f>
        <v>0</v>
      </c>
      <c r="C1653" s="1" t="s">
        <v>1968</v>
      </c>
      <c r="D1653" s="3">
        <v>19</v>
      </c>
      <c r="E1653" s="4">
        <v>0.06947368421052631</v>
      </c>
      <c r="F1653" s="4">
        <v>0.05596</v>
      </c>
      <c r="G1653" s="3">
        <v>1.32</v>
      </c>
      <c r="H1653" s="5">
        <v>674.395972</v>
      </c>
      <c r="I1653" s="6">
        <v>11.2238</v>
      </c>
      <c r="J1653" s="4">
        <v>0.753387</v>
      </c>
      <c r="K1653" s="7">
        <v>1.4804</v>
      </c>
      <c r="L1653" s="3">
        <v>30.11</v>
      </c>
      <c r="M1653" s="3">
        <v>13.64</v>
      </c>
    </row>
    <row r="1654" spans="1:13">
      <c r="A1654" s="8" t="s">
        <v>1665</v>
      </c>
      <c r="B1654" s="2">
        <f>HYPERLINK("https://www.suredividend.com/sure-analysis-research-database/","STAAR SURGICAL CO")</f>
        <v>0</v>
      </c>
      <c r="C1654" s="1" t="s">
        <v>1965</v>
      </c>
      <c r="D1654" s="3">
        <v>20.59</v>
      </c>
      <c r="F1654" s="4">
        <v>0</v>
      </c>
      <c r="G1654" s="3">
        <v>0</v>
      </c>
      <c r="H1654" s="5">
        <v>1025.181651</v>
      </c>
      <c r="J1654" s="4">
        <v>0</v>
      </c>
      <c r="K1654" s="7">
        <v>1.0311</v>
      </c>
      <c r="L1654" s="3">
        <v>30.81</v>
      </c>
      <c r="M1654" s="3">
        <v>13.5</v>
      </c>
    </row>
    <row r="1655" spans="1:13">
      <c r="A1655" s="8" t="s">
        <v>1666</v>
      </c>
      <c r="B1655" s="2">
        <f>HYPERLINK("https://www.suredividend.com/sure-analysis-STBA/","S&amp;T BANCORP INC")</f>
        <v>0</v>
      </c>
      <c r="C1655" s="1" t="s">
        <v>1962</v>
      </c>
      <c r="D1655" s="3">
        <v>41.87</v>
      </c>
      <c r="E1655" s="4">
        <v>0.03439216622880344</v>
      </c>
      <c r="F1655" s="4">
        <v>0.03177</v>
      </c>
      <c r="G1655" s="3">
        <v>1.38</v>
      </c>
      <c r="H1655" s="5">
        <v>1603.05165</v>
      </c>
      <c r="I1655" s="6">
        <v>12.0234</v>
      </c>
      <c r="J1655" s="4">
        <v>0.392003</v>
      </c>
      <c r="K1655" s="7">
        <v>0.8649</v>
      </c>
      <c r="L1655" s="3">
        <v>42.95</v>
      </c>
      <c r="M1655" s="3">
        <v>30.02</v>
      </c>
    </row>
    <row r="1656" spans="1:13">
      <c r="A1656" s="8" t="s">
        <v>1667</v>
      </c>
      <c r="B1656" s="2">
        <f>HYPERLINK("https://www.suredividend.com/sure-analysis-STC/","STEWART INFORMATION SERVICES CORP")</f>
        <v>0</v>
      </c>
      <c r="C1656" s="1" t="s">
        <v>1962</v>
      </c>
      <c r="D1656" s="3">
        <v>66.28</v>
      </c>
      <c r="E1656" s="4">
        <v>0.03168376584188292</v>
      </c>
      <c r="F1656" s="4">
        <v>0.02497</v>
      </c>
      <c r="G1656" s="3">
        <v>2.05</v>
      </c>
      <c r="H1656" s="5">
        <v>1858.284901</v>
      </c>
      <c r="I1656" s="6">
        <v>18.2187</v>
      </c>
      <c r="J1656" s="4">
        <v>0.598678</v>
      </c>
      <c r="K1656" s="7">
        <v>0.8135</v>
      </c>
      <c r="L1656" s="3">
        <v>78.05</v>
      </c>
      <c r="M1656" s="3">
        <v>55.59</v>
      </c>
    </row>
    <row r="1657" spans="1:13">
      <c r="A1657" s="8" t="s">
        <v>1668</v>
      </c>
      <c r="B1657" s="2">
        <f>HYPERLINK("https://www.suredividend.com/sure-analysis-research-database/","Stellar Bancorp, Inc.")</f>
        <v>0</v>
      </c>
      <c r="C1657" s="1" t="s">
        <v>1959</v>
      </c>
      <c r="D1657" s="3">
        <v>33.49</v>
      </c>
      <c r="E1657" s="4">
        <v>0.02</v>
      </c>
      <c r="F1657" s="4">
        <v>0.01692</v>
      </c>
      <c r="G1657" s="3">
        <v>0.57</v>
      </c>
      <c r="H1657" s="5">
        <v>1713.757299</v>
      </c>
      <c r="I1657" s="6">
        <v>16.8121</v>
      </c>
      <c r="J1657" s="4">
        <v>0.285709</v>
      </c>
      <c r="K1657" s="7">
        <v>0.7727000000000001</v>
      </c>
      <c r="L1657" s="3">
        <v>33.63</v>
      </c>
      <c r="M1657" s="3">
        <v>23.78</v>
      </c>
    </row>
    <row r="1658" spans="1:13">
      <c r="A1658" s="8" t="s">
        <v>1669</v>
      </c>
      <c r="B1658" s="2">
        <f>HYPERLINK("https://www.suredividend.com/sure-analysis-research-database/","STEM, INC.")</f>
        <v>0</v>
      </c>
      <c r="C1658" s="1" t="s">
        <v>1959</v>
      </c>
      <c r="D1658" s="3">
        <v>19.3</v>
      </c>
      <c r="F1658" s="4">
        <v>0</v>
      </c>
      <c r="G1658" s="3">
        <v>0</v>
      </c>
      <c r="H1658" s="5">
        <v>156.645183</v>
      </c>
      <c r="I1658" s="6">
        <v>1.5267</v>
      </c>
      <c r="K1658" s="7">
        <v>2.4451</v>
      </c>
      <c r="L1658" s="3">
        <v>32.23</v>
      </c>
      <c r="M1658" s="3">
        <v>5.81</v>
      </c>
    </row>
    <row r="1659" spans="1:13">
      <c r="A1659" s="8" t="s">
        <v>1670</v>
      </c>
      <c r="B1659" s="2">
        <f>HYPERLINK("https://www.suredividend.com/sure-analysis-research-database/","StepStone Group Inc.")</f>
        <v>0</v>
      </c>
      <c r="C1659" s="1" t="s">
        <v>1959</v>
      </c>
      <c r="D1659" s="3">
        <v>75.8</v>
      </c>
      <c r="E1659" s="4">
        <v>0.02</v>
      </c>
      <c r="F1659" s="4">
        <v>0.01252</v>
      </c>
      <c r="G1659" s="3">
        <v>1.44</v>
      </c>
      <c r="H1659" s="5">
        <v>8876.442703000001</v>
      </c>
      <c r="K1659" s="7">
        <v>1.4682</v>
      </c>
      <c r="L1659" s="3">
        <v>77.8</v>
      </c>
      <c r="M1659" s="3">
        <v>39.26</v>
      </c>
    </row>
    <row r="1660" spans="1:13">
      <c r="A1660" s="8" t="s">
        <v>1671</v>
      </c>
      <c r="B1660" s="2">
        <f>HYPERLINK("https://www.suredividend.com/sure-analysis-research-database/","Stagwell Inc")</f>
        <v>0</v>
      </c>
      <c r="C1660" s="1" t="s">
        <v>1959</v>
      </c>
      <c r="D1660" s="3">
        <v>6.69</v>
      </c>
      <c r="F1660" s="4">
        <v>0</v>
      </c>
      <c r="G1660" s="3">
        <v>0.84</v>
      </c>
      <c r="H1660" s="5">
        <v>1711.882884</v>
      </c>
      <c r="I1660" s="6">
        <v>87.00360000000001</v>
      </c>
      <c r="J1660" s="4">
        <v>0.1633</v>
      </c>
      <c r="K1660" s="7">
        <v>1.4827</v>
      </c>
      <c r="L1660" s="3">
        <v>7.48</v>
      </c>
      <c r="M1660" s="3">
        <v>4.03</v>
      </c>
    </row>
    <row r="1661" spans="1:13">
      <c r="A1661" s="8" t="s">
        <v>1672</v>
      </c>
      <c r="B1661" s="2">
        <f>HYPERLINK("https://www.suredividend.com/sure-analysis-research-database/","Star Holdings")</f>
        <v>0</v>
      </c>
      <c r="C1661" s="1" t="s">
        <v>1959</v>
      </c>
      <c r="D1661" s="3">
        <v>8.98</v>
      </c>
      <c r="F1661" s="4">
        <v>0</v>
      </c>
      <c r="G1661" s="3">
        <v>0</v>
      </c>
      <c r="H1661" s="5">
        <v>114.237462</v>
      </c>
      <c r="J1661" s="4">
        <v>0</v>
      </c>
      <c r="K1661" s="7">
        <v>0.7446</v>
      </c>
      <c r="L1661" s="3">
        <v>9.57</v>
      </c>
      <c r="M1661" s="3">
        <v>6.06</v>
      </c>
    </row>
    <row r="1662" spans="1:13">
      <c r="A1662" s="8" t="s">
        <v>1673</v>
      </c>
      <c r="B1662" s="2">
        <f>HYPERLINK("https://www.suredividend.com/sure-analysis-research-database/","SunOpta Inc.")</f>
        <v>0</v>
      </c>
      <c r="C1662" s="1" t="s">
        <v>1966</v>
      </c>
      <c r="D1662" s="3">
        <v>4.77</v>
      </c>
      <c r="F1662" s="4">
        <v>0</v>
      </c>
      <c r="G1662" s="3">
        <v>0</v>
      </c>
      <c r="H1662" s="5">
        <v>563.894694</v>
      </c>
      <c r="I1662" s="6">
        <v>599.2505</v>
      </c>
      <c r="J1662" s="4">
        <v>0</v>
      </c>
      <c r="K1662" s="7">
        <v>1.2221</v>
      </c>
      <c r="L1662" s="3">
        <v>7.68</v>
      </c>
      <c r="M1662" s="3">
        <v>3.32</v>
      </c>
    </row>
    <row r="1663" spans="1:13">
      <c r="A1663" s="8" t="s">
        <v>1674</v>
      </c>
      <c r="B1663" s="2">
        <f>HYPERLINK("https://www.suredividend.com/sure-analysis-research-database/","ONE Group Hospitality, Inc.")</f>
        <v>0</v>
      </c>
      <c r="C1663" s="1" t="s">
        <v>1963</v>
      </c>
      <c r="D1663" s="3">
        <v>2.26</v>
      </c>
      <c r="F1663" s="4">
        <v>0</v>
      </c>
      <c r="G1663" s="3">
        <v>0</v>
      </c>
      <c r="H1663" s="5">
        <v>70.29680500000001</v>
      </c>
      <c r="J1663" s="4">
        <v>0</v>
      </c>
      <c r="K1663" s="7">
        <v>1.3915</v>
      </c>
      <c r="L1663" s="3">
        <v>5.26</v>
      </c>
      <c r="M1663" s="3">
        <v>1.7</v>
      </c>
    </row>
    <row r="1664" spans="1:13">
      <c r="A1664" s="8" t="s">
        <v>1675</v>
      </c>
      <c r="B1664" s="2">
        <f>HYPERLINK("https://www.suredividend.com/sure-analysis-research-database/","StoneCo Ltd.")</f>
        <v>0</v>
      </c>
      <c r="C1664" s="1" t="s">
        <v>1960</v>
      </c>
      <c r="D1664" s="3">
        <v>14.915</v>
      </c>
      <c r="F1664" s="4">
        <v>0</v>
      </c>
      <c r="G1664" s="3">
        <v>0</v>
      </c>
      <c r="H1664" s="5">
        <v>4267.307664</v>
      </c>
      <c r="J1664" s="4">
        <v>0</v>
      </c>
      <c r="K1664" s="7">
        <v>1.4611</v>
      </c>
      <c r="L1664" s="3">
        <v>19.95</v>
      </c>
      <c r="M1664" s="3">
        <v>8.43</v>
      </c>
    </row>
    <row r="1665" spans="1:13">
      <c r="A1665" s="8" t="s">
        <v>1676</v>
      </c>
      <c r="B1665" s="2">
        <f>HYPERLINK("https://www.suredividend.com/sure-analysis-research-database/","Scorpio Tankers Inc.")</f>
        <v>0</v>
      </c>
      <c r="C1665" s="1" t="s">
        <v>1969</v>
      </c>
      <c r="D1665" s="3">
        <v>59.02</v>
      </c>
      <c r="E1665" s="4">
        <v>0.03</v>
      </c>
      <c r="F1665" s="4">
        <v>0.01807</v>
      </c>
      <c r="G1665" s="3">
        <v>2.02</v>
      </c>
      <c r="H1665" s="5">
        <v>2935.47487</v>
      </c>
      <c r="I1665" s="6">
        <v>4.3893</v>
      </c>
      <c r="J1665" s="4">
        <v>0</v>
      </c>
      <c r="K1665" s="7">
        <v>0.3722</v>
      </c>
      <c r="L1665" s="3">
        <v>65.06999999999999</v>
      </c>
      <c r="M1665" s="3">
        <v>29.85</v>
      </c>
    </row>
    <row r="1666" spans="1:13">
      <c r="A1666" s="8" t="s">
        <v>1677</v>
      </c>
      <c r="B1666" s="2">
        <f>HYPERLINK("https://www.suredividend.com/sure-analysis-research-database/","Stoke Therapeutics, Inc.")</f>
        <v>0</v>
      </c>
      <c r="C1666" s="1" t="s">
        <v>1965</v>
      </c>
      <c r="D1666" s="3">
        <v>29.31</v>
      </c>
      <c r="F1666" s="4">
        <v>0</v>
      </c>
      <c r="G1666" s="3">
        <v>0</v>
      </c>
      <c r="H1666" s="5">
        <v>1684.955925</v>
      </c>
      <c r="I1666" s="6">
        <v>41.5351</v>
      </c>
      <c r="J1666" s="4">
        <v>0</v>
      </c>
      <c r="K1666" s="7">
        <v>1.7442</v>
      </c>
      <c r="L1666" s="3">
        <v>38.69</v>
      </c>
      <c r="M1666" s="3">
        <v>5.35</v>
      </c>
    </row>
    <row r="1667" spans="1:13">
      <c r="A1667" s="8" t="s">
        <v>1678</v>
      </c>
      <c r="B1667" s="2">
        <f>HYPERLINK("https://www.suredividend.com/sure-analysis-research-database/","SPDR Europe Consumer Discretionary ETF")</f>
        <v>0</v>
      </c>
      <c r="C1667" s="1" t="s">
        <v>1959</v>
      </c>
      <c r="D1667" s="3">
        <v>17.83</v>
      </c>
      <c r="E1667" s="4">
        <v>0.08</v>
      </c>
      <c r="F1667" s="4">
        <v>0.05088</v>
      </c>
      <c r="G1667" s="3">
        <v>1.4</v>
      </c>
      <c r="H1667" s="5">
        <v>1519.195912</v>
      </c>
      <c r="I1667" s="6">
        <v>52.8729</v>
      </c>
      <c r="K1667" s="7">
        <v>1.111</v>
      </c>
    </row>
    <row r="1668" spans="1:13">
      <c r="A1668" s="8" t="s">
        <v>1679</v>
      </c>
      <c r="B1668" s="2">
        <f>HYPERLINK("https://www.suredividend.com/sure-analysis-research-database/","Strategic Education, Inc.")</f>
        <v>0</v>
      </c>
      <c r="C1668" s="1" t="s">
        <v>1966</v>
      </c>
      <c r="D1668" s="3">
        <v>85.64</v>
      </c>
      <c r="E1668" s="4">
        <v>0.03</v>
      </c>
      <c r="F1668" s="4">
        <v>0.02805</v>
      </c>
      <c r="G1668" s="3">
        <v>2.4</v>
      </c>
      <c r="H1668" s="5">
        <v>2012.803163</v>
      </c>
      <c r="I1668" s="6">
        <v>17.6498</v>
      </c>
      <c r="J1668" s="4">
        <v>0.509431</v>
      </c>
      <c r="K1668" s="7">
        <v>0.786</v>
      </c>
      <c r="L1668" s="3">
        <v>101.51</v>
      </c>
      <c r="M1668" s="3">
        <v>71.18000000000001</v>
      </c>
    </row>
    <row r="1669" spans="1:13">
      <c r="A1669" s="8" t="s">
        <v>1680</v>
      </c>
      <c r="B1669" s="2">
        <f>HYPERLINK("https://www.suredividend.com/sure-analysis-research-database/","STERLING INFRASTRUCTURE, INC.")</f>
        <v>0</v>
      </c>
      <c r="C1669" s="1" t="s">
        <v>1964</v>
      </c>
      <c r="D1669" s="3">
        <v>367.24</v>
      </c>
      <c r="F1669" s="4">
        <v>0</v>
      </c>
      <c r="G1669" s="3">
        <v>0</v>
      </c>
      <c r="H1669" s="5">
        <v>11136.694294</v>
      </c>
      <c r="I1669" s="6">
        <v>35.2685</v>
      </c>
      <c r="J1669" s="4">
        <v>0</v>
      </c>
      <c r="K1669" s="7">
        <v>1.9467</v>
      </c>
      <c r="L1669" s="3">
        <v>419.14</v>
      </c>
      <c r="M1669" s="3">
        <v>96.34</v>
      </c>
    </row>
    <row r="1670" spans="1:13">
      <c r="A1670" s="8" t="s">
        <v>1681</v>
      </c>
      <c r="B1670" s="2">
        <f>HYPERLINK("https://www.suredividend.com/sure-analysis-research-database/","SUTRO BIOPHARMA, INC.")</f>
        <v>0</v>
      </c>
      <c r="C1670" s="1" t="s">
        <v>1965</v>
      </c>
      <c r="D1670" s="3">
        <v>16.49</v>
      </c>
      <c r="F1670" s="4">
        <v>0</v>
      </c>
      <c r="G1670" s="3">
        <v>0</v>
      </c>
      <c r="H1670" s="5">
        <v>134.513758</v>
      </c>
      <c r="J1670" s="4">
        <v>0</v>
      </c>
      <c r="K1670" s="7">
        <v>3.2561</v>
      </c>
      <c r="L1670" s="3">
        <v>21.5</v>
      </c>
      <c r="M1670" s="3">
        <v>5.23</v>
      </c>
    </row>
    <row r="1671" spans="1:13">
      <c r="A1671" s="8" t="s">
        <v>1682</v>
      </c>
      <c r="B1671" s="2">
        <f>HYPERLINK("https://www.suredividend.com/sure-analysis-research-database/","STRATUS PROPERTIES INC")</f>
        <v>0</v>
      </c>
      <c r="C1671" s="1" t="s">
        <v>1961</v>
      </c>
      <c r="D1671" s="3">
        <v>26.53</v>
      </c>
      <c r="F1671" s="4">
        <v>0</v>
      </c>
      <c r="G1671" s="3">
        <v>1</v>
      </c>
      <c r="H1671" s="5">
        <v>214.01935</v>
      </c>
      <c r="K1671" s="7">
        <v>1.1156</v>
      </c>
      <c r="L1671" s="3">
        <v>27.34</v>
      </c>
      <c r="M1671" s="3">
        <v>15.1</v>
      </c>
    </row>
    <row r="1672" spans="1:13">
      <c r="A1672" s="8" t="s">
        <v>1683</v>
      </c>
      <c r="B1672" s="2">
        <f>HYPERLINK("https://www.suredividend.com/sure-analysis-research-database/","Strawberry Fields REIT, Inc.")</f>
        <v>0</v>
      </c>
      <c r="C1672" s="1" t="s">
        <v>1959</v>
      </c>
      <c r="D1672" s="3">
        <v>13.35</v>
      </c>
      <c r="E1672" s="4">
        <v>0.04</v>
      </c>
      <c r="F1672" s="4">
        <v>0.02589</v>
      </c>
      <c r="G1672" s="3">
        <v>0.6</v>
      </c>
      <c r="H1672" s="5">
        <v>80.690471</v>
      </c>
      <c r="I1672" s="6">
        <v>62.843</v>
      </c>
      <c r="J1672" s="4">
        <v>1.033861</v>
      </c>
      <c r="K1672" s="7">
        <v>-0.2982</v>
      </c>
      <c r="L1672" s="3">
        <v>13.94</v>
      </c>
      <c r="M1672" s="3">
        <v>8.380000000000001</v>
      </c>
    </row>
    <row r="1673" spans="1:13">
      <c r="A1673" s="8" t="s">
        <v>1684</v>
      </c>
      <c r="B1673" s="2">
        <f>HYPERLINK("https://www.suredividend.com/sure-analysis-research-database/","Shattuck Labs, Inc.")</f>
        <v>0</v>
      </c>
      <c r="C1673" s="1" t="s">
        <v>1959</v>
      </c>
      <c r="D1673" s="3">
        <v>4.425</v>
      </c>
      <c r="F1673" s="4">
        <v>0</v>
      </c>
      <c r="G1673" s="3">
        <v>0</v>
      </c>
      <c r="H1673" s="5">
        <v>280.962503</v>
      </c>
      <c r="J1673" s="4">
        <v>0</v>
      </c>
      <c r="K1673" s="7">
        <v>2.9266</v>
      </c>
      <c r="L1673" s="3">
        <v>4.89</v>
      </c>
      <c r="M1673" s="3">
        <v>0.6899999999999999</v>
      </c>
    </row>
    <row r="1674" spans="1:13">
      <c r="A1674" s="8" t="s">
        <v>1685</v>
      </c>
      <c r="B1674" s="2">
        <f>HYPERLINK("https://www.suredividend.com/sure-analysis-research-database/","Stereotaxis, Inc.")</f>
        <v>0</v>
      </c>
      <c r="C1674" s="1" t="s">
        <v>1965</v>
      </c>
      <c r="D1674" s="3">
        <v>2.75</v>
      </c>
      <c r="F1674" s="4">
        <v>0</v>
      </c>
      <c r="G1674" s="3">
        <v>0</v>
      </c>
      <c r="H1674" s="5">
        <v>256.643098</v>
      </c>
      <c r="J1674" s="4">
        <v>0</v>
      </c>
      <c r="K1674" s="7">
        <v>0.8429</v>
      </c>
      <c r="L1674" s="3">
        <v>3.59</v>
      </c>
      <c r="M1674" s="3">
        <v>1.54</v>
      </c>
    </row>
    <row r="1675" spans="1:13">
      <c r="A1675" s="8" t="s">
        <v>1686</v>
      </c>
      <c r="B1675" s="2">
        <f>HYPERLINK("https://www.suredividend.com/sure-analysis-research-database/","Sunrise Realty Trust, Inc.")</f>
        <v>0</v>
      </c>
      <c r="C1675" s="1" t="s">
        <v>1962</v>
      </c>
      <c r="D1675" s="3">
        <v>9.24</v>
      </c>
      <c r="E1675" s="4">
        <v>0.13</v>
      </c>
      <c r="F1675" s="4">
        <v>0.03809</v>
      </c>
      <c r="G1675" s="3">
        <v>1.2</v>
      </c>
      <c r="H1675" s="5">
        <v>124.009911</v>
      </c>
      <c r="I1675" s="6">
        <v>10.0277</v>
      </c>
      <c r="J1675" s="4">
        <v>1.006665</v>
      </c>
      <c r="K1675" s="7">
        <v>1.0378</v>
      </c>
      <c r="L1675" s="3">
        <v>11.55</v>
      </c>
      <c r="M1675" s="3">
        <v>7.16</v>
      </c>
    </row>
    <row r="1676" spans="1:13">
      <c r="A1676" s="8" t="s">
        <v>1687</v>
      </c>
      <c r="B1676" s="2">
        <f>HYPERLINK("https://www.suredividend.com/sure-analysis-research-database/","SUPERNUS PHARMACEUTICALS, INC.")</f>
        <v>0</v>
      </c>
      <c r="C1676" s="1" t="s">
        <v>1965</v>
      </c>
      <c r="D1676" s="3">
        <v>50.06</v>
      </c>
      <c r="F1676" s="4">
        <v>0</v>
      </c>
      <c r="G1676" s="3">
        <v>0</v>
      </c>
      <c r="H1676" s="5">
        <v>2839.444612</v>
      </c>
      <c r="J1676" s="4">
        <v>0</v>
      </c>
      <c r="K1676" s="7">
        <v>0.6828</v>
      </c>
      <c r="L1676" s="3">
        <v>57.65</v>
      </c>
      <c r="M1676" s="3">
        <v>29.16</v>
      </c>
    </row>
    <row r="1677" spans="1:13">
      <c r="A1677" s="8" t="s">
        <v>1688</v>
      </c>
      <c r="B1677" s="2">
        <f>HYPERLINK("https://www.suredividend.com/sure-analysis-research-database/","Service Properties Trust")</f>
        <v>0</v>
      </c>
      <c r="C1677" s="1" t="s">
        <v>1961</v>
      </c>
      <c r="D1677" s="3">
        <v>2.125</v>
      </c>
      <c r="E1677" s="4">
        <v>0.02</v>
      </c>
      <c r="F1677" s="4">
        <v>0.16618</v>
      </c>
      <c r="G1677" s="3">
        <v>0.04</v>
      </c>
      <c r="H1677" s="5">
        <v>358.023612</v>
      </c>
      <c r="K1677" s="7">
        <v>1.2407</v>
      </c>
      <c r="L1677" s="3">
        <v>3.06</v>
      </c>
      <c r="M1677" s="3">
        <v>1.55</v>
      </c>
    </row>
    <row r="1678" spans="1:13">
      <c r="A1678" s="8" t="s">
        <v>1689</v>
      </c>
      <c r="B1678" s="2">
        <f>HYPERLINK("https://www.suredividend.com/sure-analysis-research-database/","Silvaco Group, Inc.")</f>
        <v>0</v>
      </c>
      <c r="C1678" s="1" t="s">
        <v>1959</v>
      </c>
      <c r="D1678" s="3">
        <v>4.6</v>
      </c>
      <c r="F1678" s="4">
        <v>0</v>
      </c>
      <c r="G1678" s="3">
        <v>0</v>
      </c>
      <c r="H1678" s="5">
        <v>142.777167</v>
      </c>
      <c r="J1678" s="4">
        <v>0</v>
      </c>
      <c r="K1678" s="7">
        <v>1.7556</v>
      </c>
      <c r="L1678" s="3">
        <v>9.93</v>
      </c>
      <c r="M1678" s="3">
        <v>3.45</v>
      </c>
    </row>
    <row r="1679" spans="1:13">
      <c r="A1679" s="8" t="s">
        <v>1690</v>
      </c>
      <c r="B1679" s="2">
        <f>HYPERLINK("https://www.suredividend.com/sure-analysis-research-database/","Savara Inc")</f>
        <v>0</v>
      </c>
      <c r="C1679" s="1" t="s">
        <v>1965</v>
      </c>
      <c r="D1679" s="3">
        <v>6.12</v>
      </c>
      <c r="F1679" s="4">
        <v>0</v>
      </c>
      <c r="G1679" s="3">
        <v>0</v>
      </c>
      <c r="H1679" s="5">
        <v>1259.465961</v>
      </c>
      <c r="J1679" s="4">
        <v>0</v>
      </c>
      <c r="K1679" s="7">
        <v>1.3098</v>
      </c>
      <c r="L1679" s="3">
        <v>7.01</v>
      </c>
      <c r="M1679" s="3">
        <v>1.89</v>
      </c>
    </row>
    <row r="1680" spans="1:13">
      <c r="A1680" s="8" t="s">
        <v>1691</v>
      </c>
      <c r="B1680" s="2">
        <f>HYPERLINK("https://www.suredividend.com/sure-analysis-research-database/","Savers Value Village, Inc.")</f>
        <v>0</v>
      </c>
      <c r="C1680" s="1" t="s">
        <v>1959</v>
      </c>
      <c r="D1680" s="3">
        <v>10.5</v>
      </c>
      <c r="F1680" s="4">
        <v>0</v>
      </c>
      <c r="G1680" s="3">
        <v>0</v>
      </c>
      <c r="H1680" s="5">
        <v>1641.95051</v>
      </c>
      <c r="J1680" s="4">
        <v>0</v>
      </c>
      <c r="K1680" s="7">
        <v>0.8395</v>
      </c>
      <c r="L1680" s="3">
        <v>13.89</v>
      </c>
      <c r="M1680" s="3">
        <v>6.48</v>
      </c>
    </row>
    <row r="1681" spans="1:13">
      <c r="A1681" s="8" t="s">
        <v>1692</v>
      </c>
      <c r="B1681" s="2">
        <f>HYPERLINK("https://www.suredividend.com/sure-analysis-research-database/","SMITH &amp; WESSON BRANDS, INC.")</f>
        <v>0</v>
      </c>
      <c r="C1681" s="1" t="s">
        <v>1959</v>
      </c>
      <c r="D1681" s="3">
        <v>10.82</v>
      </c>
      <c r="E1681" s="4">
        <v>0.05</v>
      </c>
      <c r="F1681" s="4">
        <v>0.04215</v>
      </c>
      <c r="G1681" s="3">
        <v>0.52</v>
      </c>
      <c r="H1681" s="5">
        <v>474.748259</v>
      </c>
      <c r="I1681" s="6">
        <v>11.9263</v>
      </c>
      <c r="J1681" s="4">
        <v>0.55239</v>
      </c>
      <c r="K1681" s="7">
        <v>0.3958</v>
      </c>
      <c r="L1681" s="3">
        <v>11.36</v>
      </c>
      <c r="M1681" s="3">
        <v>7.53</v>
      </c>
    </row>
    <row r="1682" spans="1:13">
      <c r="A1682" s="8" t="s">
        <v>1693</v>
      </c>
      <c r="B1682" s="2">
        <f>HYPERLINK("https://www.suredividend.com/sure-analysis-research-database/","Swire Pacific Ltd")</f>
        <v>0</v>
      </c>
      <c r="C1682" s="1" t="s">
        <v>1960</v>
      </c>
      <c r="D1682" s="3">
        <v>8.07</v>
      </c>
      <c r="F1682" s="4">
        <v>0.02704</v>
      </c>
      <c r="G1682" s="3">
        <v>1</v>
      </c>
      <c r="H1682" s="5">
        <v>3173.011489</v>
      </c>
      <c r="I1682" s="6">
        <v>28.355</v>
      </c>
      <c r="J1682" s="4">
        <v>1.502748</v>
      </c>
      <c r="K1682" s="7">
        <v>0.7893</v>
      </c>
    </row>
    <row r="1683" spans="1:13">
      <c r="A1683" s="8" t="s">
        <v>1694</v>
      </c>
      <c r="B1683" s="2">
        <f>HYPERLINK("https://www.suredividend.com/sure-analysis-research-database/","Latham Group, Inc.")</f>
        <v>0</v>
      </c>
      <c r="C1683" s="1" t="s">
        <v>1959</v>
      </c>
      <c r="D1683" s="3">
        <v>6.625</v>
      </c>
      <c r="F1683" s="4">
        <v>0</v>
      </c>
      <c r="G1683" s="3">
        <v>0</v>
      </c>
      <c r="H1683" s="5">
        <v>773.427788</v>
      </c>
      <c r="J1683" s="4">
        <v>0</v>
      </c>
      <c r="K1683" s="7">
        <v>1.5596</v>
      </c>
      <c r="L1683" s="3">
        <v>8.460000000000001</v>
      </c>
      <c r="M1683" s="3">
        <v>4.56</v>
      </c>
    </row>
    <row r="1684" spans="1:13">
      <c r="A1684" s="8" t="s">
        <v>1695</v>
      </c>
      <c r="B1684" s="2">
        <f>HYPERLINK("https://www.suredividend.com/sure-analysis-research-database/","SWK Holdings Corp")</f>
        <v>0</v>
      </c>
      <c r="C1684" s="1" t="s">
        <v>1962</v>
      </c>
      <c r="D1684" s="3">
        <v>17.41</v>
      </c>
      <c r="E1684" s="4">
        <v>0.23</v>
      </c>
      <c r="F1684" s="4">
        <v>0.0463</v>
      </c>
      <c r="G1684" s="3">
        <v>4</v>
      </c>
      <c r="H1684" s="5">
        <v>211.557396</v>
      </c>
      <c r="I1684" s="6">
        <v>9.3086</v>
      </c>
      <c r="J1684" s="4">
        <v>0</v>
      </c>
      <c r="K1684" s="7">
        <v>0.2722</v>
      </c>
      <c r="L1684" s="3">
        <v>17.9</v>
      </c>
      <c r="M1684" s="3">
        <v>12.48</v>
      </c>
    </row>
    <row r="1685" spans="1:13">
      <c r="A1685" s="8" t="s">
        <v>1696</v>
      </c>
      <c r="B1685" s="2">
        <f>HYPERLINK("https://www.suredividend.com/sure-analysis-research-database/","SpringWorks Therapeutics, Inc.")</f>
        <v>0</v>
      </c>
      <c r="C1685" s="1" t="s">
        <v>1965</v>
      </c>
      <c r="D1685" s="3">
        <v>46.99</v>
      </c>
      <c r="F1685" s="4">
        <v>0</v>
      </c>
      <c r="G1685" s="3">
        <v>0</v>
      </c>
      <c r="H1685" s="5">
        <v>3539.413485</v>
      </c>
      <c r="J1685" s="4">
        <v>0</v>
      </c>
      <c r="K1685" s="7">
        <v>0.9757</v>
      </c>
    </row>
    <row r="1686" spans="1:13">
      <c r="A1686" s="8" t="s">
        <v>1697</v>
      </c>
      <c r="B1686" s="2">
        <f>HYPERLINK("https://www.suredividend.com/sure-analysis-research-database/","Southwest Gas Holdings, Inc.")</f>
        <v>0</v>
      </c>
      <c r="C1686" s="1" t="s">
        <v>1967</v>
      </c>
      <c r="D1686" s="3">
        <v>84.56999999999999</v>
      </c>
      <c r="E1686" s="4">
        <v>0.03</v>
      </c>
      <c r="F1686" s="4">
        <v>0.03025</v>
      </c>
      <c r="G1686" s="3">
        <v>2.48</v>
      </c>
      <c r="H1686" s="5">
        <v>6105.224607</v>
      </c>
      <c r="I1686" s="6">
        <v>13.1601</v>
      </c>
      <c r="J1686" s="4">
        <v>0.386667</v>
      </c>
      <c r="K1686" s="7">
        <v>0.4685</v>
      </c>
      <c r="L1686" s="3">
        <v>86.75</v>
      </c>
      <c r="M1686" s="3">
        <v>63.12</v>
      </c>
    </row>
    <row r="1687" spans="1:13">
      <c r="A1687" s="8" t="s">
        <v>1698</v>
      </c>
      <c r="B1687" s="2">
        <f>HYPERLINK("https://www.suredividend.com/sure-analysis-research-database/","SunCoke Energy, Inc.")</f>
        <v>0</v>
      </c>
      <c r="C1687" s="1" t="s">
        <v>1970</v>
      </c>
      <c r="D1687" s="3">
        <v>8.065</v>
      </c>
      <c r="E1687" s="4">
        <v>0.06</v>
      </c>
      <c r="F1687" s="4">
        <v>0.04574</v>
      </c>
      <c r="G1687" s="3">
        <v>0.48</v>
      </c>
      <c r="H1687" s="5">
        <v>683.250658</v>
      </c>
      <c r="I1687" s="6">
        <v>10.4954</v>
      </c>
      <c r="J1687" s="4">
        <v>0.7020690000000001</v>
      </c>
      <c r="K1687" s="7">
        <v>0.957</v>
      </c>
      <c r="L1687" s="3">
        <v>9.91</v>
      </c>
      <c r="M1687" s="3">
        <v>6.24</v>
      </c>
    </row>
    <row r="1688" spans="1:13">
      <c r="A1688" s="8" t="s">
        <v>1699</v>
      </c>
      <c r="B1688" s="2">
        <f>HYPERLINK("https://www.suredividend.com/sure-analysis-SXI/","STANDEX INTERNATIONAL CORP/DE/")</f>
        <v>0</v>
      </c>
      <c r="C1688" s="1" t="s">
        <v>1964</v>
      </c>
      <c r="D1688" s="3">
        <v>248.12</v>
      </c>
      <c r="E1688" s="4">
        <v>0.005481218765113655</v>
      </c>
      <c r="F1688" s="4">
        <v>0.00455</v>
      </c>
      <c r="G1688" s="3">
        <v>1.3</v>
      </c>
      <c r="J1688" s="4">
        <v>0.290619</v>
      </c>
      <c r="K1688" s="7">
        <v>1.0495</v>
      </c>
      <c r="L1688" s="3">
        <v>252.78</v>
      </c>
      <c r="M1688" s="3">
        <v>128.18</v>
      </c>
    </row>
    <row r="1689" spans="1:13">
      <c r="A1689" s="8" t="s">
        <v>1700</v>
      </c>
      <c r="B1689" s="2">
        <f>HYPERLINK("https://www.suredividend.com/sure-analysis-research-database/","SENSIENT TECHNOLOGIES CORP")</f>
        <v>0</v>
      </c>
      <c r="C1689" s="1" t="s">
        <v>1970</v>
      </c>
      <c r="D1689" s="3">
        <v>97.73</v>
      </c>
      <c r="E1689" s="4">
        <v>0.02</v>
      </c>
      <c r="F1689" s="4">
        <v>0.01717</v>
      </c>
      <c r="G1689" s="3">
        <v>1.64</v>
      </c>
      <c r="H1689" s="5">
        <v>4149.636876</v>
      </c>
      <c r="I1689" s="6">
        <v>29.8301</v>
      </c>
      <c r="J1689" s="4">
        <v>0.500047</v>
      </c>
      <c r="K1689" s="7">
        <v>0.7326</v>
      </c>
      <c r="L1689" s="3">
        <v>121.01</v>
      </c>
      <c r="M1689" s="3">
        <v>66.78</v>
      </c>
    </row>
    <row r="1690" spans="1:13">
      <c r="A1690" s="8" t="s">
        <v>1701</v>
      </c>
      <c r="B1690" s="2">
        <f>HYPERLINK("https://www.suredividend.com/sure-analysis-SYBT/","Stock Yards Bancorp, Inc.")</f>
        <v>0</v>
      </c>
      <c r="C1690" s="1" t="s">
        <v>1962</v>
      </c>
      <c r="D1690" s="3">
        <v>71.13</v>
      </c>
      <c r="E1690" s="4">
        <v>0.01799522001968227</v>
      </c>
      <c r="F1690" s="4">
        <v>0.01762</v>
      </c>
      <c r="G1690" s="3">
        <v>1.26</v>
      </c>
      <c r="H1690" s="5">
        <v>2094.383925</v>
      </c>
      <c r="I1690" s="6">
        <v>15.4876</v>
      </c>
      <c r="J1690" s="4">
        <v>0.272173</v>
      </c>
      <c r="K1690" s="7">
        <v>1.0791</v>
      </c>
      <c r="L1690" s="3">
        <v>83.09</v>
      </c>
      <c r="M1690" s="3">
        <v>59.97</v>
      </c>
    </row>
    <row r="1691" spans="1:13">
      <c r="A1691" s="8" t="s">
        <v>1702</v>
      </c>
      <c r="B1691" s="2">
        <f>HYPERLINK("https://www.suredividend.com/sure-analysis-research-database/","SYNAPTICS Inc")</f>
        <v>0</v>
      </c>
      <c r="C1691" s="1" t="s">
        <v>1960</v>
      </c>
      <c r="D1691" s="3">
        <v>91.54000000000001</v>
      </c>
      <c r="F1691" s="4">
        <v>0</v>
      </c>
      <c r="G1691" s="3">
        <v>0</v>
      </c>
      <c r="H1691" s="5">
        <v>3473.235703</v>
      </c>
      <c r="J1691" s="4">
        <v>0</v>
      </c>
      <c r="K1691" s="7">
        <v>1.9541</v>
      </c>
      <c r="L1691" s="3">
        <v>94.59</v>
      </c>
      <c r="M1691" s="3">
        <v>41.8</v>
      </c>
    </row>
    <row r="1692" spans="1:13">
      <c r="A1692" s="8" t="s">
        <v>1703</v>
      </c>
      <c r="B1692" s="2">
        <f>HYPERLINK("https://www.suredividend.com/sure-analysis-research-database/","Spyre Therapeutics, Inc.")</f>
        <v>0</v>
      </c>
      <c r="C1692" s="1" t="s">
        <v>1959</v>
      </c>
      <c r="D1692" s="3">
        <v>34.5</v>
      </c>
      <c r="F1692" s="4">
        <v>0</v>
      </c>
      <c r="G1692" s="3">
        <v>0</v>
      </c>
      <c r="H1692" s="5">
        <v>2637.356499</v>
      </c>
      <c r="J1692" s="4">
        <v>0</v>
      </c>
      <c r="K1692" s="7">
        <v>1.0925</v>
      </c>
      <c r="L1692" s="3">
        <v>35.31</v>
      </c>
      <c r="M1692" s="3">
        <v>10.91</v>
      </c>
    </row>
    <row r="1693" spans="1:13">
      <c r="A1693" s="8" t="s">
        <v>1704</v>
      </c>
      <c r="B1693" s="2">
        <f>HYPERLINK("https://www.suredividend.com/sure-analysis-research-database/","Talkspace, Inc.")</f>
        <v>0</v>
      </c>
      <c r="C1693" s="1" t="s">
        <v>1959</v>
      </c>
      <c r="D1693" s="3">
        <v>3.83</v>
      </c>
      <c r="F1693" s="4">
        <v>0</v>
      </c>
      <c r="G1693" s="3">
        <v>0</v>
      </c>
      <c r="H1693" s="5">
        <v>632.806394</v>
      </c>
      <c r="I1693" s="6">
        <v>149.1764</v>
      </c>
      <c r="J1693" s="4">
        <v>0</v>
      </c>
      <c r="K1693" s="7">
        <v>1.2108</v>
      </c>
      <c r="L1693" s="3">
        <v>4.36</v>
      </c>
      <c r="M1693" s="3">
        <v>2.22</v>
      </c>
    </row>
    <row r="1694" spans="1:13">
      <c r="A1694" s="8" t="s">
        <v>1705</v>
      </c>
      <c r="B1694" s="2">
        <f>HYPERLINK("https://www.suredividend.com/sure-analysis-research-database/","TALOS ENERGY INC.")</f>
        <v>0</v>
      </c>
      <c r="C1694" s="1" t="s">
        <v>1969</v>
      </c>
      <c r="D1694" s="3">
        <v>11.41</v>
      </c>
      <c r="F1694" s="4">
        <v>0</v>
      </c>
      <c r="G1694" s="3">
        <v>0</v>
      </c>
      <c r="H1694" s="5">
        <v>1941.271776</v>
      </c>
      <c r="J1694" s="4">
        <v>0</v>
      </c>
      <c r="K1694" s="7">
        <v>0.8835</v>
      </c>
      <c r="L1694" s="3">
        <v>12.32</v>
      </c>
      <c r="M1694" s="3">
        <v>6.23</v>
      </c>
    </row>
    <row r="1695" spans="1:13">
      <c r="A1695" s="8" t="s">
        <v>1706</v>
      </c>
      <c r="B1695" s="2">
        <f>HYPERLINK("https://www.suredividend.com/sure-analysis-research-database/","Tarsus Pharmaceuticals, Inc.")</f>
        <v>0</v>
      </c>
      <c r="C1695" s="1" t="s">
        <v>1959</v>
      </c>
      <c r="D1695" s="3">
        <v>71.3</v>
      </c>
      <c r="F1695" s="4">
        <v>0</v>
      </c>
      <c r="G1695" s="3">
        <v>0</v>
      </c>
      <c r="H1695" s="5">
        <v>3021.102803</v>
      </c>
      <c r="J1695" s="4">
        <v>0</v>
      </c>
      <c r="K1695" s="7">
        <v>0.4635</v>
      </c>
      <c r="L1695" s="3">
        <v>85.25</v>
      </c>
      <c r="M1695" s="3">
        <v>38.51</v>
      </c>
    </row>
    <row r="1696" spans="1:13">
      <c r="A1696" s="8" t="s">
        <v>1707</v>
      </c>
      <c r="B1696" s="2">
        <f>HYPERLINK("https://www.suredividend.com/sure-analysis-research-database/","TAYLOR DEVICES, INC.")</f>
        <v>0</v>
      </c>
      <c r="C1696" s="1" t="s">
        <v>1964</v>
      </c>
      <c r="D1696" s="3">
        <v>72.90000000000001</v>
      </c>
      <c r="F1696" s="4">
        <v>0</v>
      </c>
      <c r="G1696" s="3">
        <v>0</v>
      </c>
      <c r="H1696" s="5">
        <v>229.89376</v>
      </c>
      <c r="I1696" s="6">
        <v>23.2474</v>
      </c>
      <c r="J1696" s="4">
        <v>0</v>
      </c>
      <c r="K1696" s="7">
        <v>0.9872</v>
      </c>
      <c r="L1696" s="3">
        <v>75</v>
      </c>
      <c r="M1696" s="3">
        <v>29.5</v>
      </c>
    </row>
    <row r="1697" spans="1:13">
      <c r="A1697" s="8" t="s">
        <v>1708</v>
      </c>
      <c r="B1697" s="2">
        <f>HYPERLINK("https://www.suredividend.com/sure-analysis-research-database/","Bancorp, Inc.")</f>
        <v>0</v>
      </c>
      <c r="C1697" s="1" t="s">
        <v>1962</v>
      </c>
      <c r="D1697" s="3">
        <v>69.52</v>
      </c>
      <c r="F1697" s="4">
        <v>0</v>
      </c>
      <c r="G1697" s="3">
        <v>0</v>
      </c>
      <c r="H1697" s="5">
        <v>3054.031782</v>
      </c>
      <c r="I1697" s="6">
        <v>26.1655</v>
      </c>
      <c r="J1697" s="4">
        <v>0</v>
      </c>
      <c r="K1697" s="7">
        <v>1.3211</v>
      </c>
      <c r="L1697" s="3">
        <v>81.65000000000001</v>
      </c>
      <c r="M1697" s="3">
        <v>40.51</v>
      </c>
    </row>
    <row r="1698" spans="1:13">
      <c r="A1698" s="8" t="s">
        <v>1709</v>
      </c>
      <c r="B1698" s="2">
        <f>HYPERLINK("https://www.suredividend.com/sure-analysis-research-database/","Turtle Beach Corp")</f>
        <v>0</v>
      </c>
      <c r="C1698" s="1" t="s">
        <v>1959</v>
      </c>
      <c r="D1698" s="3">
        <v>13.19</v>
      </c>
      <c r="F1698" s="4">
        <v>0</v>
      </c>
      <c r="G1698" s="3">
        <v>0</v>
      </c>
      <c r="H1698" s="5">
        <v>254.519165</v>
      </c>
      <c r="I1698" s="6">
        <v>13.9379</v>
      </c>
      <c r="J1698" s="4">
        <v>0</v>
      </c>
      <c r="K1698" s="7">
        <v>2.0156</v>
      </c>
      <c r="L1698" s="3">
        <v>19.5</v>
      </c>
      <c r="M1698" s="3">
        <v>8.779999999999999</v>
      </c>
    </row>
    <row r="1699" spans="1:13">
      <c r="A1699" s="8" t="s">
        <v>1710</v>
      </c>
      <c r="B1699" s="2">
        <f>HYPERLINK("https://www.suredividend.com/sure-analysis-research-database/","TrueBlue, Inc.")</f>
        <v>0</v>
      </c>
      <c r="C1699" s="1" t="s">
        <v>1964</v>
      </c>
      <c r="D1699" s="3">
        <v>5.34</v>
      </c>
      <c r="F1699" s="4">
        <v>0</v>
      </c>
      <c r="G1699" s="3">
        <v>0</v>
      </c>
      <c r="H1699" s="5">
        <v>160.176154</v>
      </c>
      <c r="J1699" s="4">
        <v>0</v>
      </c>
      <c r="K1699" s="7">
        <v>1.1208</v>
      </c>
      <c r="L1699" s="3">
        <v>8.550000000000001</v>
      </c>
      <c r="M1699" s="3">
        <v>3.45</v>
      </c>
    </row>
    <row r="1700" spans="1:13">
      <c r="A1700" s="8" t="s">
        <v>1711</v>
      </c>
      <c r="B1700" s="2">
        <f>HYPERLINK("https://www.suredividend.com/sure-analysis-research-database/","Theravance Biopharma, Inc.")</f>
        <v>0</v>
      </c>
      <c r="C1700" s="1" t="s">
        <v>1965</v>
      </c>
      <c r="D1700" s="3">
        <v>20.35</v>
      </c>
      <c r="F1700" s="4">
        <v>0</v>
      </c>
      <c r="G1700" s="3">
        <v>0</v>
      </c>
      <c r="H1700" s="5">
        <v>1032.197419</v>
      </c>
      <c r="I1700" s="6">
        <v>35.1758</v>
      </c>
      <c r="J1700" s="4">
        <v>0</v>
      </c>
      <c r="K1700" s="7">
        <v>0.8709</v>
      </c>
      <c r="L1700" s="3">
        <v>21</v>
      </c>
      <c r="M1700" s="3">
        <v>7.9</v>
      </c>
    </row>
    <row r="1701" spans="1:13">
      <c r="A1701" s="8" t="s">
        <v>1712</v>
      </c>
      <c r="B1701" s="2">
        <f>HYPERLINK("https://www.suredividend.com/sure-analysis-research-database/","TEXAS CAPITAL BANCSHARES INC/TX")</f>
        <v>0</v>
      </c>
      <c r="C1701" s="1" t="s">
        <v>1962</v>
      </c>
      <c r="D1701" s="3">
        <v>102.38</v>
      </c>
      <c r="F1701" s="4">
        <v>0</v>
      </c>
      <c r="G1701" s="3">
        <v>0</v>
      </c>
      <c r="H1701" s="5">
        <v>4668.425874</v>
      </c>
      <c r="I1701" s="6">
        <v>16.4754</v>
      </c>
      <c r="J1701" s="4">
        <v>0.057384</v>
      </c>
      <c r="K1701" s="7">
        <v>0.9127</v>
      </c>
      <c r="L1701" s="3">
        <v>100.48</v>
      </c>
      <c r="M1701" s="3">
        <v>59.37</v>
      </c>
    </row>
    <row r="1702" spans="1:13">
      <c r="A1702" s="8" t="s">
        <v>1713</v>
      </c>
      <c r="B1702" s="2">
        <f>HYPERLINK("https://www.suredividend.com/sure-analysis-TCBK/","TRICO BANCSHARES /")</f>
        <v>0</v>
      </c>
      <c r="C1702" s="1" t="s">
        <v>1962</v>
      </c>
      <c r="D1702" s="3">
        <v>50.63</v>
      </c>
      <c r="E1702" s="4">
        <v>0.02844163539403516</v>
      </c>
      <c r="F1702" s="4">
        <v>0.02497</v>
      </c>
      <c r="G1702" s="3">
        <v>1.38</v>
      </c>
      <c r="H1702" s="5">
        <v>1645.414505</v>
      </c>
      <c r="I1702" s="6">
        <v>14.0684</v>
      </c>
      <c r="J1702" s="4">
        <v>0.378298</v>
      </c>
      <c r="K1702" s="7">
        <v>0.9611</v>
      </c>
      <c r="L1702" s="3">
        <v>50.85</v>
      </c>
      <c r="M1702" s="3">
        <v>34.38</v>
      </c>
    </row>
    <row r="1703" spans="1:13">
      <c r="A1703" s="8" t="s">
        <v>1714</v>
      </c>
      <c r="B1703" s="2">
        <f>HYPERLINK("https://www.suredividend.com/sure-analysis-research-database/","Third Coast Bancshares, Inc.")</f>
        <v>0</v>
      </c>
      <c r="C1703" s="1" t="s">
        <v>1959</v>
      </c>
      <c r="D1703" s="3">
        <v>40.48</v>
      </c>
      <c r="F1703" s="4">
        <v>0</v>
      </c>
      <c r="G1703" s="3">
        <v>0</v>
      </c>
      <c r="H1703" s="5">
        <v>559.097699</v>
      </c>
      <c r="I1703" s="6">
        <v>9.744300000000001</v>
      </c>
      <c r="J1703" s="4">
        <v>0.076441</v>
      </c>
      <c r="K1703" s="7">
        <v>0.9048</v>
      </c>
      <c r="L1703" s="3">
        <v>41.7</v>
      </c>
      <c r="M1703" s="3">
        <v>25.17</v>
      </c>
    </row>
    <row r="1704" spans="1:13">
      <c r="A1704" s="8" t="s">
        <v>1715</v>
      </c>
      <c r="B1704" s="2">
        <f>HYPERLINK("https://www.suredividend.com/sure-analysis-research-database/","TRANSCONTINENTAL REALTY INVESTORS INC")</f>
        <v>0</v>
      </c>
      <c r="C1704" s="1" t="s">
        <v>1961</v>
      </c>
      <c r="D1704" s="3">
        <v>51.5</v>
      </c>
      <c r="F1704" s="4">
        <v>0</v>
      </c>
      <c r="G1704" s="3">
        <v>0.66</v>
      </c>
      <c r="H1704" s="5">
        <v>449.158039</v>
      </c>
      <c r="I1704" s="6">
        <v>79.93559999999999</v>
      </c>
      <c r="J1704" s="4">
        <v>0</v>
      </c>
      <c r="K1704" s="7">
        <v>0.4015</v>
      </c>
      <c r="L1704" s="3">
        <v>59.65</v>
      </c>
      <c r="M1704" s="3">
        <v>25.5</v>
      </c>
    </row>
    <row r="1705" spans="1:13">
      <c r="A1705" s="8" t="s">
        <v>1716</v>
      </c>
      <c r="B1705" s="2">
        <f>HYPERLINK("https://www.suredividend.com/sure-analysis-research-database/","TACTILE SYSTEMS TECHNOLOGY INC")</f>
        <v>0</v>
      </c>
      <c r="C1705" s="1" t="s">
        <v>1965</v>
      </c>
      <c r="D1705" s="3">
        <v>30.4</v>
      </c>
      <c r="F1705" s="4">
        <v>0</v>
      </c>
      <c r="G1705" s="3">
        <v>0</v>
      </c>
      <c r="H1705" s="5">
        <v>681.458607</v>
      </c>
      <c r="I1705" s="6">
        <v>37.5087</v>
      </c>
      <c r="J1705" s="4">
        <v>0</v>
      </c>
      <c r="K1705" s="7">
        <v>0.957</v>
      </c>
      <c r="L1705" s="3">
        <v>31.38</v>
      </c>
      <c r="M1705" s="3">
        <v>8.609999999999999</v>
      </c>
    </row>
    <row r="1706" spans="1:13">
      <c r="A1706" s="8" t="s">
        <v>1717</v>
      </c>
      <c r="B1706" s="2">
        <f>HYPERLINK("https://www.suredividend.com/sure-analysis-research-database/","TScan Therapeutics, Inc.")</f>
        <v>0</v>
      </c>
      <c r="C1706" s="1" t="s">
        <v>1959</v>
      </c>
      <c r="D1706" s="3">
        <v>1.145</v>
      </c>
      <c r="F1706" s="4">
        <v>0</v>
      </c>
      <c r="G1706" s="3">
        <v>0</v>
      </c>
      <c r="H1706" s="5">
        <v>64.692712</v>
      </c>
      <c r="J1706" s="4">
        <v>0</v>
      </c>
      <c r="K1706" s="7">
        <v>1.3522</v>
      </c>
      <c r="L1706" s="3">
        <v>2.67</v>
      </c>
      <c r="M1706" s="3">
        <v>0.88</v>
      </c>
    </row>
    <row r="1707" spans="1:13">
      <c r="A1707" s="8" t="s">
        <v>1718</v>
      </c>
      <c r="B1707" s="2">
        <f>HYPERLINK("https://www.suredividend.com/sure-analysis-research-database/","TUCOWS INC /PA/")</f>
        <v>0</v>
      </c>
      <c r="C1707" s="1" t="s">
        <v>1960</v>
      </c>
      <c r="D1707" s="3">
        <v>24.59</v>
      </c>
      <c r="F1707" s="4">
        <v>0</v>
      </c>
      <c r="G1707" s="3">
        <v>0</v>
      </c>
      <c r="H1707" s="5">
        <v>275.710309</v>
      </c>
      <c r="J1707" s="4">
        <v>0</v>
      </c>
      <c r="K1707" s="7">
        <v>1.2009</v>
      </c>
      <c r="L1707" s="3">
        <v>25</v>
      </c>
      <c r="M1707" s="3">
        <v>13.27</v>
      </c>
    </row>
    <row r="1708" spans="1:13">
      <c r="A1708" s="8" t="s">
        <v>1719</v>
      </c>
      <c r="B1708" s="2">
        <f>HYPERLINK("https://www.suredividend.com/sure-analysis-research-database/","Teladoc Health, Inc.")</f>
        <v>0</v>
      </c>
      <c r="C1708" s="1" t="s">
        <v>1965</v>
      </c>
      <c r="D1708" s="3">
        <v>6.22</v>
      </c>
      <c r="F1708" s="4">
        <v>0</v>
      </c>
      <c r="G1708" s="3">
        <v>0</v>
      </c>
      <c r="H1708" s="5">
        <v>1093.236175</v>
      </c>
      <c r="J1708" s="4">
        <v>0</v>
      </c>
      <c r="K1708" s="7">
        <v>1.7513</v>
      </c>
      <c r="L1708" s="3">
        <v>15.21</v>
      </c>
      <c r="M1708" s="3">
        <v>6.03</v>
      </c>
    </row>
    <row r="1709" spans="1:13">
      <c r="A1709" s="8" t="s">
        <v>1720</v>
      </c>
      <c r="B1709" s="2">
        <f>HYPERLINK("https://www.suredividend.com/sure-analysis-research-database/","TELEPHONE &amp; DATA SYSTEMS INC /DE/")</f>
        <v>0</v>
      </c>
      <c r="C1709" s="1" t="s">
        <v>1968</v>
      </c>
      <c r="D1709" s="3">
        <v>44.35</v>
      </c>
      <c r="F1709" s="4">
        <v>0.01297</v>
      </c>
      <c r="G1709" s="3">
        <v>0.16</v>
      </c>
      <c r="H1709" s="5">
        <v>5078.535</v>
      </c>
      <c r="J1709" s="4">
        <v>7.004413</v>
      </c>
      <c r="K1709" s="7">
        <v>0.5683</v>
      </c>
      <c r="L1709" s="3">
        <v>45.02</v>
      </c>
      <c r="M1709" s="3">
        <v>30.97</v>
      </c>
    </row>
    <row r="1710" spans="1:13">
      <c r="A1710" s="8" t="s">
        <v>1721</v>
      </c>
      <c r="B1710" s="2">
        <f>HYPERLINK("https://www.suredividend.com/sure-analysis-research-database/","ThredUp Inc.")</f>
        <v>0</v>
      </c>
      <c r="C1710" s="1" t="s">
        <v>1959</v>
      </c>
      <c r="D1710" s="3">
        <v>5.375</v>
      </c>
      <c r="F1710" s="4">
        <v>0</v>
      </c>
      <c r="G1710" s="3">
        <v>0</v>
      </c>
      <c r="H1710" s="5">
        <v>672.011965</v>
      </c>
      <c r="J1710" s="4">
        <v>0</v>
      </c>
      <c r="K1710" s="7">
        <v>2.8355</v>
      </c>
      <c r="L1710" s="3">
        <v>12.28</v>
      </c>
      <c r="M1710" s="3">
        <v>2.02</v>
      </c>
    </row>
    <row r="1711" spans="1:13">
      <c r="A1711" s="8" t="s">
        <v>1722</v>
      </c>
      <c r="B1711" s="2">
        <f>HYPERLINK("https://www.suredividend.com/sure-analysis-research-database/","TIDEWATER INC")</f>
        <v>0</v>
      </c>
      <c r="C1711" s="1" t="s">
        <v>1969</v>
      </c>
      <c r="D1711" s="3">
        <v>59.58</v>
      </c>
      <c r="F1711" s="4">
        <v>0</v>
      </c>
      <c r="G1711" s="3">
        <v>32.26</v>
      </c>
      <c r="H1711" s="5">
        <v>2952.972894</v>
      </c>
      <c r="I1711" s="6">
        <v>16.3458</v>
      </c>
      <c r="K1711" s="7">
        <v>1.1719</v>
      </c>
      <c r="L1711" s="3">
        <v>64.06999999999999</v>
      </c>
      <c r="M1711" s="3">
        <v>31.17</v>
      </c>
    </row>
    <row r="1712" spans="1:13">
      <c r="A1712" s="8" t="s">
        <v>1723</v>
      </c>
      <c r="B1712" s="2">
        <f>HYPERLINK("https://www.suredividend.com/sure-analysis-research-database/","T1 Energy Inc.")</f>
        <v>0</v>
      </c>
      <c r="C1712" s="1" t="s">
        <v>1959</v>
      </c>
      <c r="D1712" s="3">
        <v>7.48</v>
      </c>
      <c r="F1712" s="4">
        <v>0</v>
      </c>
      <c r="G1712" s="3">
        <v>0</v>
      </c>
      <c r="H1712" s="5">
        <v>1092.49493</v>
      </c>
      <c r="J1712" s="4">
        <v>0</v>
      </c>
      <c r="K1712" s="7">
        <v>1.7356</v>
      </c>
      <c r="L1712" s="3">
        <v>9.08</v>
      </c>
      <c r="M1712" s="3">
        <v>0.92</v>
      </c>
    </row>
    <row r="1713" spans="1:13">
      <c r="A1713" s="8" t="s">
        <v>1724</v>
      </c>
      <c r="B1713" s="2">
        <f>HYPERLINK("https://www.suredividend.com/sure-analysis-research-database/","Telomir Pharmaceuticals, Inc.")</f>
        <v>0</v>
      </c>
      <c r="C1713" s="1" t="s">
        <v>1959</v>
      </c>
      <c r="D1713" s="3">
        <v>1.31</v>
      </c>
      <c r="F1713" s="4">
        <v>0</v>
      </c>
      <c r="G1713" s="3">
        <v>0</v>
      </c>
      <c r="H1713" s="5">
        <v>45.382882</v>
      </c>
      <c r="J1713" s="4">
        <v>0</v>
      </c>
      <c r="K1713" s="7">
        <v>0.9416</v>
      </c>
      <c r="L1713" s="3">
        <v>5.4</v>
      </c>
      <c r="M1713" s="3">
        <v>1.12</v>
      </c>
    </row>
    <row r="1714" spans="1:13">
      <c r="A1714" s="8" t="s">
        <v>1725</v>
      </c>
      <c r="B1714" s="2">
        <f>HYPERLINK("https://www.suredividend.com/sure-analysis-research-database/","Tenable Holdings, Inc.")</f>
        <v>0</v>
      </c>
      <c r="C1714" s="1" t="s">
        <v>1960</v>
      </c>
      <c r="D1714" s="3">
        <v>22.5</v>
      </c>
      <c r="F1714" s="4">
        <v>0</v>
      </c>
      <c r="G1714" s="3">
        <v>0</v>
      </c>
      <c r="H1714" s="5">
        <v>2664.95746</v>
      </c>
      <c r="J1714" s="4">
        <v>0</v>
      </c>
      <c r="K1714" s="7">
        <v>0.8803</v>
      </c>
      <c r="L1714" s="3">
        <v>45.44</v>
      </c>
      <c r="M1714" s="3">
        <v>21.55</v>
      </c>
    </row>
    <row r="1715" spans="1:13">
      <c r="A1715" s="8" t="s">
        <v>1726</v>
      </c>
      <c r="B1715" s="2">
        <f>HYPERLINK("https://www.suredividend.com/sure-analysis-research-database/","Terns Pharmaceuticals, Inc.")</f>
        <v>0</v>
      </c>
      <c r="C1715" s="1" t="s">
        <v>1959</v>
      </c>
      <c r="D1715" s="3">
        <v>36.85</v>
      </c>
      <c r="F1715" s="4">
        <v>0</v>
      </c>
      <c r="G1715" s="3">
        <v>0</v>
      </c>
      <c r="H1715" s="5">
        <v>3302.324771</v>
      </c>
      <c r="J1715" s="4">
        <v>0</v>
      </c>
      <c r="K1715" s="7">
        <v>1.0788</v>
      </c>
      <c r="L1715" s="3">
        <v>48.26</v>
      </c>
      <c r="M1715" s="3">
        <v>1.87</v>
      </c>
    </row>
    <row r="1716" spans="1:13">
      <c r="A1716" s="8" t="s">
        <v>1727</v>
      </c>
      <c r="B1716" s="2">
        <f>HYPERLINK("https://www.suredividend.com/sure-analysis-research-database/","TEREX CORP")</f>
        <v>0</v>
      </c>
      <c r="C1716" s="1" t="s">
        <v>1964</v>
      </c>
      <c r="D1716" s="3">
        <v>60.47</v>
      </c>
      <c r="E1716" s="4">
        <v>0.01</v>
      </c>
      <c r="F1716" s="4">
        <v>0.01022</v>
      </c>
      <c r="G1716" s="3">
        <v>0.68</v>
      </c>
      <c r="H1716" s="5">
        <v>3968.144</v>
      </c>
      <c r="I1716" s="6">
        <v>25.6009</v>
      </c>
      <c r="J1716" s="4">
        <v>0.296774</v>
      </c>
      <c r="K1716" s="7">
        <v>1.5233</v>
      </c>
      <c r="L1716" s="3">
        <v>62.23</v>
      </c>
      <c r="M1716" s="3">
        <v>31.19</v>
      </c>
    </row>
    <row r="1717" spans="1:13">
      <c r="A1717" s="8" t="s">
        <v>1728</v>
      </c>
      <c r="B1717" s="2">
        <f>HYPERLINK("https://www.suredividend.com/sure-analysis-research-database/","Triumph Financial, Inc.")</f>
        <v>0</v>
      </c>
      <c r="C1717" s="1" t="s">
        <v>1959</v>
      </c>
      <c r="D1717" s="3">
        <v>70.70999999999999</v>
      </c>
      <c r="F1717" s="4">
        <v>0</v>
      </c>
      <c r="G1717" s="3">
        <v>0</v>
      </c>
      <c r="H1717" s="5">
        <v>1680.072451</v>
      </c>
      <c r="I1717" s="6">
        <v>247.908</v>
      </c>
      <c r="J1717" s="4">
        <v>0.321146</v>
      </c>
      <c r="K1717" s="7">
        <v>1.4173</v>
      </c>
      <c r="L1717" s="3">
        <v>92.28</v>
      </c>
      <c r="M1717" s="3">
        <v>42.9</v>
      </c>
    </row>
    <row r="1718" spans="1:13">
      <c r="A1718" s="8" t="s">
        <v>1729</v>
      </c>
      <c r="B1718" s="2">
        <f>HYPERLINK("https://www.suredividend.com/sure-analysis-research-database/","TREDEGAR CORP")</f>
        <v>0</v>
      </c>
      <c r="C1718" s="1" t="s">
        <v>1970</v>
      </c>
      <c r="D1718" s="3">
        <v>8.449999999999999</v>
      </c>
      <c r="F1718" s="4">
        <v>0.03365</v>
      </c>
      <c r="G1718" s="3">
        <v>0.52</v>
      </c>
      <c r="H1718" s="5">
        <v>288.013217</v>
      </c>
      <c r="J1718" s="4">
        <v>0</v>
      </c>
      <c r="K1718" s="7">
        <v>0.9194</v>
      </c>
      <c r="L1718" s="3">
        <v>9.43</v>
      </c>
      <c r="M1718" s="3">
        <v>6.25</v>
      </c>
    </row>
    <row r="1719" spans="1:13">
      <c r="A1719" s="8" t="s">
        <v>1730</v>
      </c>
      <c r="B1719" s="2">
        <f>HYPERLINK("https://www.suredividend.com/sure-analysis-research-database/","TETRA TECHNOLOGIES INC")</f>
        <v>0</v>
      </c>
      <c r="C1719" s="1" t="s">
        <v>1964</v>
      </c>
      <c r="D1719" s="3">
        <v>26</v>
      </c>
      <c r="F1719" s="4">
        <v>0</v>
      </c>
      <c r="G1719" s="3">
        <v>0.16</v>
      </c>
      <c r="H1719" s="5">
        <v>2021.368893</v>
      </c>
      <c r="I1719" s="6">
        <v>49.4537</v>
      </c>
      <c r="J1719" s="4">
        <v>0</v>
      </c>
      <c r="K1719" s="7">
        <v>1.5089</v>
      </c>
    </row>
    <row r="1720" spans="1:13">
      <c r="A1720" s="8" t="s">
        <v>1731</v>
      </c>
      <c r="B1720" s="2">
        <f>HYPERLINK("https://www.suredividend.com/sure-analysis-TGLS/","Tecnoglass Inc.")</f>
        <v>0</v>
      </c>
      <c r="C1720" s="1" t="s">
        <v>1964</v>
      </c>
      <c r="D1720" s="3">
        <v>52.45</v>
      </c>
      <c r="E1720" s="4">
        <v>0.01143946615824595</v>
      </c>
      <c r="F1720" s="4">
        <v>0.00736</v>
      </c>
      <c r="G1720" s="3">
        <v>0.6</v>
      </c>
      <c r="H1720" s="5">
        <v>2442.567443</v>
      </c>
      <c r="I1720" s="6">
        <v>13.534</v>
      </c>
      <c r="J1720" s="4">
        <v>0.145787</v>
      </c>
      <c r="K1720" s="7">
        <v>1.5293</v>
      </c>
      <c r="L1720" s="3">
        <v>89.70999999999999</v>
      </c>
      <c r="M1720" s="3">
        <v>44.13</v>
      </c>
    </row>
    <row r="1721" spans="1:13">
      <c r="A1721" s="8" t="s">
        <v>1732</v>
      </c>
      <c r="B1721" s="2">
        <f>HYPERLINK("https://www.suredividend.com/sure-analysis-TGNA/","TEGNA INC")</f>
        <v>0</v>
      </c>
      <c r="C1721" s="1" t="s">
        <v>1968</v>
      </c>
      <c r="D1721" s="3">
        <v>18.955</v>
      </c>
      <c r="E1721" s="4">
        <v>0.02637826431020839</v>
      </c>
      <c r="F1721" s="4">
        <v>0.02098</v>
      </c>
      <c r="G1721" s="3">
        <v>0.5</v>
      </c>
      <c r="H1721" s="5">
        <v>3053.636719</v>
      </c>
      <c r="I1721" s="6">
        <v>8.8672</v>
      </c>
      <c r="J1721" s="4">
        <v>0.294165</v>
      </c>
      <c r="K1721" s="7">
        <v>0.6219</v>
      </c>
      <c r="L1721" s="3">
        <v>21.09</v>
      </c>
      <c r="M1721" s="3">
        <v>14.69</v>
      </c>
    </row>
    <row r="1722" spans="1:13">
      <c r="A1722" s="8" t="s">
        <v>1733</v>
      </c>
      <c r="B1722" s="2">
        <f>HYPERLINK("https://www.suredividend.com/sure-analysis-research-database/","TG THERAPEUTICS, INC.")</f>
        <v>0</v>
      </c>
      <c r="C1722" s="1" t="s">
        <v>1965</v>
      </c>
      <c r="D1722" s="3">
        <v>31.69</v>
      </c>
      <c r="F1722" s="4">
        <v>0</v>
      </c>
      <c r="G1722" s="3">
        <v>0</v>
      </c>
      <c r="H1722" s="5">
        <v>5012.035868</v>
      </c>
      <c r="I1722" s="6">
        <v>11.2008</v>
      </c>
      <c r="J1722" s="4">
        <v>0</v>
      </c>
      <c r="K1722" s="7">
        <v>1.5087</v>
      </c>
      <c r="L1722" s="3">
        <v>46.48</v>
      </c>
      <c r="M1722" s="3">
        <v>25.28</v>
      </c>
    </row>
    <row r="1723" spans="1:13">
      <c r="A1723" s="8" t="s">
        <v>1734</v>
      </c>
      <c r="B1723" s="2">
        <f>HYPERLINK("https://www.suredividend.com/sure-analysis-research-database/","Target Hospitality Corp.")</f>
        <v>0</v>
      </c>
      <c r="C1723" s="1" t="s">
        <v>1969</v>
      </c>
      <c r="D1723" s="3">
        <v>7.65</v>
      </c>
      <c r="F1723" s="4">
        <v>0</v>
      </c>
      <c r="G1723" s="3">
        <v>0</v>
      </c>
      <c r="H1723" s="5">
        <v>764.3112149999999</v>
      </c>
      <c r="K1723" s="7">
        <v>-0.0922</v>
      </c>
      <c r="L1723" s="3">
        <v>10.82</v>
      </c>
      <c r="M1723" s="3">
        <v>4</v>
      </c>
    </row>
    <row r="1724" spans="1:13">
      <c r="A1724" s="8" t="s">
        <v>1735</v>
      </c>
      <c r="B1724" s="2">
        <f>HYPERLINK("https://www.suredividend.com/sure-analysis-THFF/","First Financial Corporation")</f>
        <v>0</v>
      </c>
      <c r="C1724" s="1" t="s">
        <v>1962</v>
      </c>
      <c r="D1724" s="3">
        <v>65.66</v>
      </c>
      <c r="E1724" s="4">
        <v>0.03411513859275054</v>
      </c>
      <c r="F1724" s="4">
        <v>0.02499</v>
      </c>
      <c r="G1724" s="3">
        <v>2.09</v>
      </c>
      <c r="H1724" s="5">
        <v>777.757831</v>
      </c>
      <c r="K1724" s="7">
        <v>0.8759</v>
      </c>
      <c r="L1724" s="3">
        <v>65.18000000000001</v>
      </c>
      <c r="M1724" s="3">
        <v>40.9</v>
      </c>
    </row>
    <row r="1725" spans="1:13">
      <c r="A1725" s="8" t="s">
        <v>1736</v>
      </c>
      <c r="B1725" s="2">
        <f>HYPERLINK("https://www.suredividend.com/sure-analysis-research-database/","Thermon Group Holdings, Inc.")</f>
        <v>0</v>
      </c>
      <c r="C1725" s="1" t="s">
        <v>1964</v>
      </c>
      <c r="D1725" s="3">
        <v>42.49</v>
      </c>
      <c r="F1725" s="4">
        <v>0</v>
      </c>
      <c r="G1725" s="3">
        <v>0</v>
      </c>
      <c r="H1725" s="5">
        <v>1396.359989</v>
      </c>
      <c r="I1725" s="6">
        <v>23.6491</v>
      </c>
      <c r="J1725" s="4">
        <v>0</v>
      </c>
      <c r="K1725" s="7">
        <v>1.1964</v>
      </c>
      <c r="L1725" s="3">
        <v>41.92</v>
      </c>
      <c r="M1725" s="3">
        <v>23.05</v>
      </c>
    </row>
    <row r="1726" spans="1:13">
      <c r="A1726" s="8" t="s">
        <v>1737</v>
      </c>
      <c r="B1726" s="2">
        <f>HYPERLINK("https://www.suredividend.com/sure-analysis-research-database/","Third Harmonic Bio, Inc.")</f>
        <v>0</v>
      </c>
      <c r="C1726" s="1" t="s">
        <v>1959</v>
      </c>
      <c r="D1726" s="3">
        <v>5.38</v>
      </c>
      <c r="F1726" s="4">
        <v>0</v>
      </c>
      <c r="G1726" s="3">
        <v>0</v>
      </c>
      <c r="H1726" s="5">
        <v>242.787548</v>
      </c>
      <c r="J1726" s="4">
        <v>0</v>
      </c>
      <c r="K1726" s="7">
        <v>0.3623</v>
      </c>
    </row>
    <row r="1727" spans="1:13">
      <c r="A1727" s="8" t="s">
        <v>1738</v>
      </c>
      <c r="B1727" s="2">
        <f>HYPERLINK("https://www.suredividend.com/sure-analysis-research-database/","Gentherm Inc")</f>
        <v>0</v>
      </c>
      <c r="C1727" s="1" t="s">
        <v>1963</v>
      </c>
      <c r="D1727" s="3">
        <v>37.76</v>
      </c>
      <c r="F1727" s="4">
        <v>0</v>
      </c>
      <c r="G1727" s="3">
        <v>0</v>
      </c>
      <c r="H1727" s="5">
        <v>1145.303553</v>
      </c>
      <c r="I1727" s="6">
        <v>37.405</v>
      </c>
      <c r="J1727" s="4">
        <v>0</v>
      </c>
      <c r="K1727" s="7">
        <v>1.1515</v>
      </c>
      <c r="L1727" s="3">
        <v>41.09</v>
      </c>
      <c r="M1727" s="3">
        <v>22.75</v>
      </c>
    </row>
    <row r="1728" spans="1:13">
      <c r="A1728" s="8" t="s">
        <v>1739</v>
      </c>
      <c r="B1728" s="2">
        <f>HYPERLINK("https://www.suredividend.com/sure-analysis-research-database/","Thryv Holdings, Inc.")</f>
        <v>0</v>
      </c>
      <c r="C1728" s="1" t="s">
        <v>1959</v>
      </c>
      <c r="D1728" s="3">
        <v>5.055</v>
      </c>
      <c r="F1728" s="4">
        <v>0</v>
      </c>
      <c r="G1728" s="3">
        <v>0</v>
      </c>
      <c r="H1728" s="5">
        <v>224.518839</v>
      </c>
      <c r="I1728" s="6">
        <v>12.5781</v>
      </c>
      <c r="J1728" s="4">
        <v>0</v>
      </c>
      <c r="K1728" s="7">
        <v>1.4267</v>
      </c>
      <c r="L1728" s="3">
        <v>20.92</v>
      </c>
      <c r="M1728" s="3">
        <v>4.94</v>
      </c>
    </row>
    <row r="1729" spans="1:13">
      <c r="A1729" s="8" t="s">
        <v>1740</v>
      </c>
      <c r="B1729" s="2">
        <f>HYPERLINK("https://www.suredividend.com/sure-analysis-research-database/","TreeHouse Foods, Inc.")</f>
        <v>0</v>
      </c>
      <c r="C1729" s="1" t="s">
        <v>1966</v>
      </c>
      <c r="D1729" s="3">
        <v>24.405</v>
      </c>
      <c r="F1729" s="4">
        <v>0</v>
      </c>
      <c r="G1729" s="3">
        <v>0</v>
      </c>
      <c r="H1729" s="5">
        <v>1232.705</v>
      </c>
      <c r="J1729" s="4">
        <v>0</v>
      </c>
      <c r="K1729" s="7">
        <v>0.5291</v>
      </c>
      <c r="L1729" s="3">
        <v>40.77</v>
      </c>
      <c r="M1729" s="3">
        <v>15.85</v>
      </c>
    </row>
    <row r="1730" spans="1:13">
      <c r="A1730" s="8" t="s">
        <v>1741</v>
      </c>
      <c r="B1730" s="2">
        <f>HYPERLINK("https://www.suredividend.com/sure-analysis-research-database/","INTERFACE INC")</f>
        <v>0</v>
      </c>
      <c r="C1730" s="1" t="s">
        <v>1963</v>
      </c>
      <c r="D1730" s="3">
        <v>31.17</v>
      </c>
      <c r="F1730" s="4">
        <v>0.0015</v>
      </c>
      <c r="G1730" s="3">
        <v>0.06</v>
      </c>
      <c r="H1730" s="5">
        <v>1820.619438</v>
      </c>
      <c r="I1730" s="6">
        <v>16.0442</v>
      </c>
      <c r="J1730" s="4">
        <v>0.026261</v>
      </c>
      <c r="K1730" s="7">
        <v>1.1934</v>
      </c>
      <c r="L1730" s="3">
        <v>31.35</v>
      </c>
      <c r="M1730" s="3">
        <v>17.21</v>
      </c>
    </row>
    <row r="1731" spans="1:13">
      <c r="A1731" s="8" t="s">
        <v>1742</v>
      </c>
      <c r="B1731" s="2">
        <f>HYPERLINK("https://www.suredividend.com/sure-analysis-research-database/","TIPTREE INC.")</f>
        <v>0</v>
      </c>
      <c r="C1731" s="1" t="s">
        <v>1962</v>
      </c>
      <c r="D1731" s="3">
        <v>17.29</v>
      </c>
      <c r="E1731" s="4">
        <v>0.03</v>
      </c>
      <c r="F1731" s="4">
        <v>0.01409</v>
      </c>
      <c r="G1731" s="3">
        <v>0.49</v>
      </c>
      <c r="H1731" s="5">
        <v>654.350598</v>
      </c>
      <c r="I1731" s="6">
        <v>12.9403</v>
      </c>
      <c r="J1731" s="4">
        <v>0.278897</v>
      </c>
      <c r="K1731" s="7">
        <v>0.5516</v>
      </c>
      <c r="L1731" s="3">
        <v>27.32</v>
      </c>
      <c r="M1731" s="3">
        <v>17.02</v>
      </c>
    </row>
    <row r="1732" spans="1:13">
      <c r="A1732" s="8" t="s">
        <v>1743</v>
      </c>
      <c r="B1732" s="2">
        <f>HYPERLINK("https://www.suredividend.com/sure-analysis-research-database/","Titan Machinery Inc.")</f>
        <v>0</v>
      </c>
      <c r="C1732" s="1" t="s">
        <v>1964</v>
      </c>
      <c r="D1732" s="3">
        <v>16.23</v>
      </c>
      <c r="F1732" s="4">
        <v>0</v>
      </c>
      <c r="G1732" s="3">
        <v>0</v>
      </c>
      <c r="H1732" s="5">
        <v>378.830521</v>
      </c>
      <c r="J1732" s="4">
        <v>0</v>
      </c>
      <c r="K1732" s="7">
        <v>1.2342</v>
      </c>
      <c r="L1732" s="3">
        <v>23.41</v>
      </c>
      <c r="M1732" s="3">
        <v>12.5</v>
      </c>
    </row>
    <row r="1733" spans="1:13">
      <c r="A1733" s="8" t="s">
        <v>1744</v>
      </c>
      <c r="B1733" s="2">
        <f>HYPERLINK("https://www.suredividend.com/sure-analysis-research-database/","TEEKAY CORP LTD")</f>
        <v>0</v>
      </c>
      <c r="C1733" s="1" t="s">
        <v>1969</v>
      </c>
      <c r="D1733" s="3">
        <v>9.789999999999999</v>
      </c>
      <c r="E1733" s="4">
        <v>0.2</v>
      </c>
      <c r="F1733" s="4">
        <v>0.04128</v>
      </c>
      <c r="G1733" s="3">
        <v>2</v>
      </c>
      <c r="H1733" s="5">
        <v>823.7875299999999</v>
      </c>
      <c r="J1733" s="4">
        <v>0.394005</v>
      </c>
      <c r="K1733" s="7">
        <v>0.4816</v>
      </c>
      <c r="L1733" s="3">
        <v>10.6</v>
      </c>
      <c r="M1733" s="3">
        <v>4.97</v>
      </c>
    </row>
    <row r="1734" spans="1:13">
      <c r="A1734" s="8" t="s">
        <v>1745</v>
      </c>
      <c r="B1734" s="2">
        <f>HYPERLINK("https://www.suredividend.com/sure-analysis-research-database/","TELOS CORP")</f>
        <v>0</v>
      </c>
      <c r="C1734" s="1" t="s">
        <v>1959</v>
      </c>
      <c r="D1734" s="3">
        <v>5.7</v>
      </c>
      <c r="F1734" s="4">
        <v>0</v>
      </c>
      <c r="G1734" s="3">
        <v>0</v>
      </c>
      <c r="H1734" s="5">
        <v>411.549156</v>
      </c>
      <c r="J1734" s="4">
        <v>0</v>
      </c>
      <c r="K1734" s="7">
        <v>2.8515</v>
      </c>
      <c r="L1734" s="3">
        <v>8.359999999999999</v>
      </c>
      <c r="M1734" s="3">
        <v>1.83</v>
      </c>
    </row>
    <row r="1735" spans="1:13">
      <c r="A1735" s="8" t="s">
        <v>1746</v>
      </c>
      <c r="B1735" s="2">
        <f>HYPERLINK("https://www.suredividend.com/sure-analysis-research-database/","TILLY'S, INC.")</f>
        <v>0</v>
      </c>
      <c r="C1735" s="1" t="s">
        <v>1963</v>
      </c>
      <c r="D1735" s="3">
        <v>1.685</v>
      </c>
      <c r="F1735" s="4">
        <v>0.22222</v>
      </c>
      <c r="G1735" s="3">
        <v>2</v>
      </c>
      <c r="H1735" s="5">
        <v>51.195766</v>
      </c>
      <c r="J1735" s="4">
        <v>0</v>
      </c>
      <c r="K1735" s="7">
        <v>1.1142</v>
      </c>
      <c r="L1735" s="3">
        <v>4.6</v>
      </c>
      <c r="M1735" s="3">
        <v>0.57</v>
      </c>
    </row>
    <row r="1736" spans="1:13">
      <c r="A1736" s="8" t="s">
        <v>1747</v>
      </c>
      <c r="B1736" s="2">
        <f>HYPERLINK("https://www.suredividend.com/sure-analysis-research-database/","TREACE MEDICAL CONCEPTS, INC.")</f>
        <v>0</v>
      </c>
      <c r="C1736" s="1" t="s">
        <v>1959</v>
      </c>
      <c r="D1736" s="3">
        <v>2.62</v>
      </c>
      <c r="F1736" s="4">
        <v>0</v>
      </c>
      <c r="G1736" s="3">
        <v>0</v>
      </c>
      <c r="H1736" s="5">
        <v>166.304171</v>
      </c>
      <c r="J1736" s="4">
        <v>0</v>
      </c>
      <c r="K1736" s="7">
        <v>1.9397</v>
      </c>
      <c r="L1736" s="3">
        <v>10.79</v>
      </c>
      <c r="M1736" s="3">
        <v>2.36</v>
      </c>
    </row>
    <row r="1737" spans="1:13">
      <c r="A1737" s="8" t="s">
        <v>1748</v>
      </c>
      <c r="B1737" s="2">
        <f>HYPERLINK("https://www.suredividend.com/sure-analysis-research-database/","TransMedics Group, Inc.")</f>
        <v>0</v>
      </c>
      <c r="C1737" s="1" t="s">
        <v>1965</v>
      </c>
      <c r="D1737" s="3">
        <v>134.52</v>
      </c>
      <c r="F1737" s="4">
        <v>0</v>
      </c>
      <c r="G1737" s="3">
        <v>0</v>
      </c>
      <c r="H1737" s="5">
        <v>4572.866428</v>
      </c>
      <c r="I1737" s="6">
        <v>49.8324</v>
      </c>
      <c r="J1737" s="4">
        <v>0</v>
      </c>
      <c r="K1737" s="7">
        <v>1.3502</v>
      </c>
      <c r="L1737" s="3">
        <v>156</v>
      </c>
      <c r="M1737" s="3">
        <v>55</v>
      </c>
    </row>
    <row r="1738" spans="1:13">
      <c r="A1738" s="8" t="s">
        <v>1749</v>
      </c>
      <c r="B1738" s="2">
        <f>HYPERLINK("https://www.suredividend.com/sure-analysis-research-database/","Taylor Morrison Home Corp")</f>
        <v>0</v>
      </c>
      <c r="C1738" s="1" t="s">
        <v>1963</v>
      </c>
      <c r="D1738" s="3">
        <v>65</v>
      </c>
      <c r="F1738" s="4">
        <v>0</v>
      </c>
      <c r="G1738" s="3">
        <v>0</v>
      </c>
      <c r="H1738" s="5">
        <v>6289.583381</v>
      </c>
      <c r="I1738" s="6">
        <v>7.3914</v>
      </c>
      <c r="J1738" s="4">
        <v>0.01356</v>
      </c>
      <c r="K1738" s="7">
        <v>1.083</v>
      </c>
      <c r="L1738" s="3">
        <v>72.5</v>
      </c>
      <c r="M1738" s="3">
        <v>51.9</v>
      </c>
    </row>
    <row r="1739" spans="1:13">
      <c r="A1739" s="8" t="s">
        <v>1750</v>
      </c>
      <c r="B1739" s="2">
        <f>HYPERLINK("https://www.suredividend.com/sure-analysis-TMP/","TOMPKINS FINANCIAL CORP")</f>
        <v>0</v>
      </c>
      <c r="C1739" s="1" t="s">
        <v>1962</v>
      </c>
      <c r="D1739" s="3">
        <v>78.98</v>
      </c>
      <c r="E1739" s="4">
        <v>0.03291972651304127</v>
      </c>
      <c r="F1739" s="4">
        <v>0.03246</v>
      </c>
      <c r="G1739" s="3">
        <v>2.51</v>
      </c>
      <c r="H1739" s="5">
        <v>1144.219169</v>
      </c>
      <c r="I1739" s="6">
        <v>13.5441</v>
      </c>
      <c r="J1739" s="4">
        <v>0.422016</v>
      </c>
      <c r="K1739" s="7">
        <v>0.8159999999999999</v>
      </c>
      <c r="L1739" s="3">
        <v>77.33</v>
      </c>
      <c r="M1739" s="3">
        <v>52.57</v>
      </c>
    </row>
    <row r="1740" spans="1:13">
      <c r="A1740" s="8" t="s">
        <v>1751</v>
      </c>
      <c r="B1740" s="2">
        <f>HYPERLINK("https://www.suredividend.com/sure-analysis-TNC/","TENNANT CO")</f>
        <v>0</v>
      </c>
      <c r="C1740" s="1" t="s">
        <v>1964</v>
      </c>
      <c r="D1740" s="3">
        <v>79.56999999999999</v>
      </c>
      <c r="E1740" s="4">
        <v>0.01558376272464497</v>
      </c>
      <c r="F1740" s="4">
        <v>0.01393</v>
      </c>
      <c r="G1740" s="3">
        <v>1.2</v>
      </c>
      <c r="H1740" s="5">
        <v>1443.914691</v>
      </c>
      <c r="I1740" s="6">
        <v>26.3488</v>
      </c>
      <c r="J1740" s="4">
        <v>0.399635</v>
      </c>
      <c r="K1740" s="7">
        <v>0.9973</v>
      </c>
      <c r="L1740" s="3">
        <v>89.06999999999999</v>
      </c>
      <c r="M1740" s="3">
        <v>66.53</v>
      </c>
    </row>
    <row r="1741" spans="1:13">
      <c r="A1741" s="8" t="s">
        <v>1752</v>
      </c>
      <c r="B1741" s="2">
        <f>HYPERLINK("https://www.suredividend.com/sure-analysis-research-database/","TANDEM DIABETES CARE INC")</f>
        <v>0</v>
      </c>
      <c r="C1741" s="1" t="s">
        <v>1965</v>
      </c>
      <c r="D1741" s="3">
        <v>21.04</v>
      </c>
      <c r="F1741" s="4">
        <v>0</v>
      </c>
      <c r="G1741" s="3">
        <v>0</v>
      </c>
      <c r="H1741" s="5">
        <v>1406.220926</v>
      </c>
      <c r="J1741" s="4">
        <v>0</v>
      </c>
      <c r="K1741" s="7">
        <v>1.2511</v>
      </c>
      <c r="L1741" s="3">
        <v>37.93</v>
      </c>
      <c r="M1741" s="3">
        <v>9.98</v>
      </c>
    </row>
    <row r="1742" spans="1:13">
      <c r="A1742" s="8" t="s">
        <v>1753</v>
      </c>
      <c r="B1742" s="2">
        <f>HYPERLINK("https://www.suredividend.com/sure-analysis-research-database/","TRINET GROUP, INC.")</f>
        <v>0</v>
      </c>
      <c r="C1742" s="1" t="s">
        <v>1964</v>
      </c>
      <c r="D1742" s="3">
        <v>62.85</v>
      </c>
      <c r="E1742" s="4">
        <v>0.02</v>
      </c>
      <c r="F1742" s="4">
        <v>0.00688</v>
      </c>
      <c r="G1742" s="3">
        <v>1.1</v>
      </c>
      <c r="H1742" s="5">
        <v>3019.668796</v>
      </c>
      <c r="I1742" s="6">
        <v>22.7043</v>
      </c>
      <c r="J1742" s="4">
        <v>0.383459</v>
      </c>
      <c r="K1742" s="7">
        <v>0.7658</v>
      </c>
      <c r="L1742" s="3">
        <v>95.48</v>
      </c>
      <c r="M1742" s="3">
        <v>53.97</v>
      </c>
    </row>
    <row r="1743" spans="1:13">
      <c r="A1743" s="8" t="s">
        <v>1754</v>
      </c>
      <c r="B1743" s="2">
        <f>HYPERLINK("https://www.suredividend.com/sure-analysis-research-database/","Tango Therapeutics, Inc.")</f>
        <v>0</v>
      </c>
      <c r="C1743" s="1" t="s">
        <v>1959</v>
      </c>
      <c r="D1743" s="3">
        <v>12.51</v>
      </c>
      <c r="F1743" s="4">
        <v>0</v>
      </c>
      <c r="G1743" s="3">
        <v>0</v>
      </c>
      <c r="H1743" s="5">
        <v>1683.770915</v>
      </c>
      <c r="J1743" s="4">
        <v>0</v>
      </c>
      <c r="K1743" s="7">
        <v>1.1353</v>
      </c>
      <c r="L1743" s="3">
        <v>13.46</v>
      </c>
      <c r="M1743" s="3">
        <v>1.03</v>
      </c>
    </row>
    <row r="1744" spans="1:13">
      <c r="A1744" s="8" t="s">
        <v>1755</v>
      </c>
      <c r="B1744" s="2">
        <f>HYPERLINK("https://www.suredividend.com/sure-analysis-research-database/","TEEKAY TANKERS LTD.")</f>
        <v>0</v>
      </c>
      <c r="C1744" s="1" t="s">
        <v>1969</v>
      </c>
      <c r="D1744" s="3">
        <v>61.97</v>
      </c>
      <c r="E1744" s="4">
        <v>0.03</v>
      </c>
      <c r="F1744" s="4">
        <v>0.01948</v>
      </c>
      <c r="G1744" s="3">
        <v>2</v>
      </c>
      <c r="H1744" s="5">
        <v>2130.359494</v>
      </c>
      <c r="I1744" s="6">
        <v>5.2775</v>
      </c>
      <c r="J1744" s="4">
        <v>0.267099</v>
      </c>
      <c r="K1744" s="7">
        <v>0.4073</v>
      </c>
      <c r="L1744" s="3">
        <v>63.71</v>
      </c>
      <c r="M1744" s="3">
        <v>32.15</v>
      </c>
    </row>
    <row r="1745" spans="1:13">
      <c r="A1745" s="8" t="s">
        <v>1756</v>
      </c>
      <c r="B1745" s="2">
        <f>HYPERLINK("https://www.suredividend.com/sure-analysis-research-database/","Tenaya Therapeutics, Inc.")</f>
        <v>0</v>
      </c>
      <c r="C1745" s="1" t="s">
        <v>1959</v>
      </c>
      <c r="D1745" s="3">
        <v>0.7124</v>
      </c>
      <c r="F1745" s="4">
        <v>0</v>
      </c>
      <c r="G1745" s="3">
        <v>0</v>
      </c>
      <c r="H1745" s="5">
        <v>119.201563</v>
      </c>
      <c r="J1745" s="4">
        <v>0</v>
      </c>
      <c r="K1745" s="7">
        <v>2.8651</v>
      </c>
      <c r="L1745" s="3">
        <v>2.35</v>
      </c>
      <c r="M1745" s="3">
        <v>0.36</v>
      </c>
    </row>
    <row r="1746" spans="1:13">
      <c r="A1746" s="8" t="s">
        <v>1757</v>
      </c>
      <c r="B1746" s="2">
        <f>HYPERLINK("https://www.suredividend.com/sure-analysis-TOWN/","TowneBank")</f>
        <v>0</v>
      </c>
      <c r="C1746" s="1" t="s">
        <v>1962</v>
      </c>
      <c r="D1746" s="3">
        <v>36.51</v>
      </c>
      <c r="E1746" s="4">
        <v>0.02958093672966311</v>
      </c>
      <c r="F1746" s="4">
        <v>0.02739</v>
      </c>
      <c r="G1746" s="3">
        <v>1.06</v>
      </c>
      <c r="K1746" s="7">
        <v>0.8756</v>
      </c>
      <c r="L1746" s="3">
        <v>37.1</v>
      </c>
      <c r="M1746" s="3">
        <v>28.75</v>
      </c>
    </row>
    <row r="1747" spans="1:13">
      <c r="A1747" s="8" t="s">
        <v>1758</v>
      </c>
      <c r="B1747" s="2">
        <f>HYPERLINK("https://www.suredividend.com/sure-analysis-TPB/","Turning Point Brands, Inc.")</f>
        <v>0</v>
      </c>
      <c r="C1747" s="1" t="s">
        <v>1966</v>
      </c>
      <c r="D1747" s="3">
        <v>117.94</v>
      </c>
      <c r="E1747" s="4">
        <v>0.002543666270985247</v>
      </c>
      <c r="F1747" s="4">
        <v>0.00252</v>
      </c>
      <c r="G1747" s="3">
        <v>0.3</v>
      </c>
      <c r="H1747" s="5">
        <v>2250.540034</v>
      </c>
      <c r="I1747" s="6">
        <v>42.973</v>
      </c>
      <c r="J1747" s="4">
        <v>0.089827</v>
      </c>
      <c r="K1747" s="7">
        <v>0.6054</v>
      </c>
      <c r="L1747" s="3">
        <v>119.25</v>
      </c>
      <c r="M1747" s="3">
        <v>51.36</v>
      </c>
    </row>
    <row r="1748" spans="1:13">
      <c r="A1748" s="8" t="s">
        <v>1759</v>
      </c>
      <c r="B1748" s="2">
        <f>HYPERLINK("https://www.suredividend.com/sure-analysis-research-database/","TUTOR PERINI CORP")</f>
        <v>0</v>
      </c>
      <c r="C1748" s="1" t="s">
        <v>1964</v>
      </c>
      <c r="D1748" s="3">
        <v>76.01000000000001</v>
      </c>
      <c r="F1748" s="4">
        <v>0.00017</v>
      </c>
      <c r="G1748" s="3">
        <v>0.06</v>
      </c>
      <c r="H1748" s="5">
        <v>3969.984277</v>
      </c>
      <c r="J1748" s="4">
        <v>1.194765</v>
      </c>
      <c r="K1748" s="7">
        <v>1.6066</v>
      </c>
      <c r="L1748" s="3">
        <v>77.09</v>
      </c>
      <c r="M1748" s="3">
        <v>18.32</v>
      </c>
    </row>
    <row r="1749" spans="1:13">
      <c r="A1749" s="8" t="s">
        <v>1760</v>
      </c>
      <c r="B1749" s="2">
        <f>HYPERLINK("https://www.suredividend.com/sure-analysis-research-database/","Tri Pointe Homes, Inc.")</f>
        <v>0</v>
      </c>
      <c r="C1749" s="1" t="s">
        <v>1963</v>
      </c>
      <c r="D1749" s="3">
        <v>35.42</v>
      </c>
      <c r="F1749" s="4">
        <v>0</v>
      </c>
      <c r="G1749" s="3">
        <v>0</v>
      </c>
      <c r="H1749" s="5">
        <v>3046.191934</v>
      </c>
      <c r="I1749" s="6">
        <v>0.6791</v>
      </c>
      <c r="J1749" s="4">
        <v>0</v>
      </c>
      <c r="K1749" s="7">
        <v>0.9775</v>
      </c>
      <c r="L1749" s="3">
        <v>38.96</v>
      </c>
      <c r="M1749" s="3">
        <v>27.9</v>
      </c>
    </row>
    <row r="1750" spans="1:13">
      <c r="A1750" s="8" t="s">
        <v>1761</v>
      </c>
      <c r="B1750" s="2">
        <f>HYPERLINK("https://www.suredividend.com/sure-analysis-research-database/","ReposiTrak, Inc.")</f>
        <v>0</v>
      </c>
      <c r="C1750" s="1" t="s">
        <v>1959</v>
      </c>
      <c r="D1750" s="3">
        <v>10.87</v>
      </c>
      <c r="E1750" s="4">
        <v>0.01</v>
      </c>
      <c r="F1750" s="4">
        <v>0.00398</v>
      </c>
      <c r="G1750" s="3">
        <v>0.08</v>
      </c>
      <c r="H1750" s="5">
        <v>199.527044</v>
      </c>
      <c r="I1750" s="6">
        <v>29.2508</v>
      </c>
      <c r="J1750" s="4">
        <v>0.22942</v>
      </c>
      <c r="K1750" s="7">
        <v>1.1431</v>
      </c>
      <c r="L1750" s="3">
        <v>23.63</v>
      </c>
      <c r="M1750" s="3">
        <v>10.69</v>
      </c>
    </row>
    <row r="1751" spans="1:13">
      <c r="A1751" s="8" t="s">
        <v>1762</v>
      </c>
      <c r="B1751" s="2">
        <f>HYPERLINK("https://www.suredividend.com/sure-analysis-research-database/","TEJON RANCH CO")</f>
        <v>0</v>
      </c>
      <c r="C1751" s="1" t="s">
        <v>1964</v>
      </c>
      <c r="D1751" s="3">
        <v>16.41</v>
      </c>
      <c r="F1751" s="4">
        <v>0</v>
      </c>
      <c r="G1751" s="3">
        <v>0.04</v>
      </c>
      <c r="H1751" s="5">
        <v>441.329802</v>
      </c>
      <c r="I1751" s="6">
        <v>148.2465</v>
      </c>
      <c r="J1751" s="4">
        <v>0</v>
      </c>
      <c r="K1751" s="7">
        <v>0.6425</v>
      </c>
      <c r="L1751" s="3">
        <v>19.39</v>
      </c>
      <c r="M1751" s="3">
        <v>14.9</v>
      </c>
    </row>
    <row r="1752" spans="1:13">
      <c r="A1752" s="8" t="s">
        <v>1763</v>
      </c>
      <c r="B1752" s="2">
        <f>HYPERLINK("https://www.suredividend.com/sure-analysis-research-database/","Entrada Therapeutics, Inc.")</f>
        <v>0</v>
      </c>
      <c r="C1752" s="1" t="s">
        <v>1959</v>
      </c>
      <c r="D1752" s="3">
        <v>11.3</v>
      </c>
      <c r="F1752" s="4">
        <v>0</v>
      </c>
      <c r="G1752" s="3">
        <v>0</v>
      </c>
      <c r="H1752" s="5">
        <v>431.877322</v>
      </c>
      <c r="J1752" s="4">
        <v>0</v>
      </c>
      <c r="K1752" s="7">
        <v>1.0999</v>
      </c>
      <c r="L1752" s="3">
        <v>14.27</v>
      </c>
      <c r="M1752" s="3">
        <v>4.93</v>
      </c>
    </row>
    <row r="1753" spans="1:13">
      <c r="A1753" s="8" t="s">
        <v>1764</v>
      </c>
      <c r="B1753" s="2">
        <f>HYPERLINK("https://www.suredividend.com/sure-analysis-research-database/","LendingTree, Inc.")</f>
        <v>0</v>
      </c>
      <c r="C1753" s="1" t="s">
        <v>1962</v>
      </c>
      <c r="D1753" s="3">
        <v>67.01000000000001</v>
      </c>
      <c r="F1753" s="4">
        <v>0</v>
      </c>
      <c r="G1753" s="3">
        <v>1</v>
      </c>
      <c r="H1753" s="5">
        <v>916.073339</v>
      </c>
      <c r="I1753" s="6">
        <v>64.70359999999999</v>
      </c>
      <c r="J1753" s="4">
        <v>0</v>
      </c>
      <c r="K1753" s="7">
        <v>2.3056</v>
      </c>
      <c r="L1753" s="3">
        <v>77.34999999999999</v>
      </c>
      <c r="M1753" s="3">
        <v>33.5</v>
      </c>
    </row>
    <row r="1754" spans="1:13">
      <c r="A1754" s="8" t="s">
        <v>1765</v>
      </c>
      <c r="B1754" s="2">
        <f>HYPERLINK("https://www.suredividend.com/sure-analysis-research-database/","TRUSTMARK CORP")</f>
        <v>0</v>
      </c>
      <c r="C1754" s="1" t="s">
        <v>1962</v>
      </c>
      <c r="D1754" s="3">
        <v>42.99</v>
      </c>
      <c r="E1754" s="4">
        <v>0.02</v>
      </c>
      <c r="F1754" s="4">
        <v>0.02306</v>
      </c>
      <c r="G1754" s="3">
        <v>0.96</v>
      </c>
      <c r="H1754" s="5">
        <v>2556.619993</v>
      </c>
      <c r="I1754" s="6">
        <v>11.4867</v>
      </c>
      <c r="J1754" s="4">
        <v>0.261128</v>
      </c>
      <c r="K1754" s="7">
        <v>0.9422</v>
      </c>
      <c r="L1754" s="3">
        <v>41.5</v>
      </c>
      <c r="M1754" s="3">
        <v>29.21</v>
      </c>
    </row>
    <row r="1755" spans="1:13">
      <c r="A1755" s="8" t="s">
        <v>1766</v>
      </c>
      <c r="B1755" s="2">
        <f>HYPERLINK("https://www.suredividend.com/sure-analysis-research-database/","Tourmaline Bio, Inc.")</f>
        <v>0</v>
      </c>
      <c r="C1755" s="1" t="s">
        <v>1959</v>
      </c>
      <c r="D1755" s="3">
        <v>47.985</v>
      </c>
      <c r="F1755" s="4">
        <v>0</v>
      </c>
      <c r="G1755" s="3">
        <v>0</v>
      </c>
      <c r="H1755" s="5">
        <v>1232.715019</v>
      </c>
      <c r="J1755" s="4">
        <v>0</v>
      </c>
      <c r="K1755" s="7">
        <v>1.5688</v>
      </c>
    </row>
    <row r="1756" spans="1:13">
      <c r="A1756" s="8" t="s">
        <v>1767</v>
      </c>
      <c r="B1756" s="2">
        <f>HYPERLINK("https://www.suredividend.com/sure-analysis-TRN/","TRINITY INDUSTRIES INC")</f>
        <v>0</v>
      </c>
      <c r="C1756" s="1" t="s">
        <v>1964</v>
      </c>
      <c r="D1756" s="3">
        <v>27.41</v>
      </c>
      <c r="E1756" s="4">
        <v>0.04523896388179496</v>
      </c>
      <c r="F1756" s="4">
        <v>0.03509</v>
      </c>
      <c r="G1756" s="3">
        <v>1.21</v>
      </c>
      <c r="H1756" s="5">
        <v>2196.94633</v>
      </c>
      <c r="I1756" s="6">
        <v>23.0288</v>
      </c>
      <c r="J1756" s="4">
        <v>0.9412740000000001</v>
      </c>
      <c r="K1756" s="7">
        <v>1.2836</v>
      </c>
      <c r="L1756" s="3">
        <v>38.09</v>
      </c>
      <c r="M1756" s="3">
        <v>21.89</v>
      </c>
    </row>
    <row r="1757" spans="1:13">
      <c r="A1757" s="8" t="s">
        <v>1768</v>
      </c>
      <c r="B1757" s="2">
        <f>HYPERLINK("https://www.suredividend.com/sure-analysis-TRNO/","Terreno Realty Corp")</f>
        <v>0</v>
      </c>
      <c r="C1757" s="1" t="s">
        <v>1961</v>
      </c>
      <c r="D1757" s="3">
        <v>62.51</v>
      </c>
      <c r="E1757" s="4">
        <v>0.03327467605183171</v>
      </c>
      <c r="F1757" s="4">
        <v>0.02834</v>
      </c>
      <c r="G1757" s="3">
        <v>2.02</v>
      </c>
      <c r="H1757" s="5">
        <v>6462.201313</v>
      </c>
      <c r="I1757" s="6">
        <v>20.2272</v>
      </c>
      <c r="J1757" s="4">
        <v>0.620161</v>
      </c>
      <c r="K1757" s="7">
        <v>0.7982</v>
      </c>
      <c r="L1757" s="3">
        <v>66.89</v>
      </c>
      <c r="M1757" s="3">
        <v>46.93</v>
      </c>
    </row>
    <row r="1758" spans="1:13">
      <c r="A1758" s="8" t="s">
        <v>1769</v>
      </c>
      <c r="B1758" s="2">
        <f>HYPERLINK("https://www.suredividend.com/sure-analysis-research-database/","TRANSCAT INC")</f>
        <v>0</v>
      </c>
      <c r="C1758" s="1" t="s">
        <v>1964</v>
      </c>
      <c r="D1758" s="3">
        <v>64.01000000000001</v>
      </c>
      <c r="F1758" s="4">
        <v>0</v>
      </c>
      <c r="G1758" s="3">
        <v>0</v>
      </c>
      <c r="H1758" s="5">
        <v>598.324346</v>
      </c>
      <c r="I1758" s="6">
        <v>52.7112</v>
      </c>
      <c r="J1758" s="4">
        <v>0</v>
      </c>
      <c r="K1758" s="7">
        <v>0.8159999999999999</v>
      </c>
      <c r="L1758" s="3">
        <v>107.02</v>
      </c>
      <c r="M1758" s="3">
        <v>50.23</v>
      </c>
    </row>
    <row r="1759" spans="1:13">
      <c r="A1759" s="8" t="s">
        <v>1770</v>
      </c>
      <c r="B1759" s="2">
        <f>HYPERLINK("https://www.suredividend.com/sure-analysis-research-database/","Tronox Holdings plc")</f>
        <v>0</v>
      </c>
      <c r="C1759" s="1" t="s">
        <v>1970</v>
      </c>
      <c r="D1759" s="3">
        <v>6.25</v>
      </c>
      <c r="E1759" s="4">
        <v>0.06</v>
      </c>
      <c r="F1759" s="4">
        <v>0.0934</v>
      </c>
      <c r="G1759" s="3">
        <v>0.35</v>
      </c>
      <c r="H1759" s="5">
        <v>978.267864</v>
      </c>
      <c r="K1759" s="7">
        <v>2.401</v>
      </c>
      <c r="L1759" s="3">
        <v>9.880000000000001</v>
      </c>
      <c r="M1759" s="3">
        <v>2.82</v>
      </c>
    </row>
    <row r="1760" spans="1:13">
      <c r="A1760" s="8" t="s">
        <v>1771</v>
      </c>
      <c r="B1760" s="2">
        <f>HYPERLINK("https://www.suredividend.com/sure-analysis-research-database/","TRIMAS CORP")</f>
        <v>0</v>
      </c>
      <c r="C1760" s="1" t="s">
        <v>1964</v>
      </c>
      <c r="D1760" s="3">
        <v>34.9</v>
      </c>
      <c r="F1760" s="4">
        <v>0.00383</v>
      </c>
      <c r="G1760" s="3">
        <v>0.16</v>
      </c>
      <c r="H1760" s="5">
        <v>1405.93376</v>
      </c>
      <c r="I1760" s="6">
        <v>31.895</v>
      </c>
      <c r="J1760" s="4">
        <v>0.149728</v>
      </c>
      <c r="K1760" s="7">
        <v>0.76</v>
      </c>
      <c r="L1760" s="3">
        <v>40.29</v>
      </c>
      <c r="M1760" s="3">
        <v>19.22</v>
      </c>
    </row>
    <row r="1761" spans="1:13">
      <c r="A1761" s="8" t="s">
        <v>1772</v>
      </c>
      <c r="B1761" s="2">
        <f>HYPERLINK("https://www.suredividend.com/sure-analysis-research-database/","TRUSTCO BANK CORP N Y")</f>
        <v>0</v>
      </c>
      <c r="C1761" s="1" t="s">
        <v>1962</v>
      </c>
      <c r="D1761" s="3">
        <v>45.87</v>
      </c>
      <c r="E1761" s="4">
        <v>0.03</v>
      </c>
      <c r="F1761" s="4">
        <v>0.03485</v>
      </c>
      <c r="G1761" s="3">
        <v>1.48</v>
      </c>
      <c r="H1761" s="5">
        <v>858.286667</v>
      </c>
      <c r="I1761" s="6">
        <v>15.0966</v>
      </c>
      <c r="J1761" s="4">
        <v>0.481364</v>
      </c>
      <c r="K1761" s="7">
        <v>0.7677</v>
      </c>
      <c r="L1761" s="3">
        <v>45.55</v>
      </c>
      <c r="M1761" s="3">
        <v>26.38</v>
      </c>
    </row>
    <row r="1762" spans="1:13">
      <c r="A1762" s="8" t="s">
        <v>1773</v>
      </c>
      <c r="B1762" s="2">
        <f>HYPERLINK("https://www.suredividend.com/sure-analysis-research-database/","TPG RE Finance Trust, Inc.")</f>
        <v>0</v>
      </c>
      <c r="C1762" s="1" t="s">
        <v>1961</v>
      </c>
      <c r="D1762" s="3">
        <v>9.145</v>
      </c>
      <c r="E1762" s="4">
        <v>0.11</v>
      </c>
      <c r="F1762" s="4">
        <v>0.10236</v>
      </c>
      <c r="G1762" s="3">
        <v>0.96</v>
      </c>
      <c r="H1762" s="5">
        <v>715.308702</v>
      </c>
      <c r="I1762" s="6">
        <v>13.7035</v>
      </c>
      <c r="J1762" s="4">
        <v>1.368027</v>
      </c>
      <c r="K1762" s="7">
        <v>0.7748</v>
      </c>
      <c r="L1762" s="3">
        <v>9.33</v>
      </c>
      <c r="M1762" s="3">
        <v>5.94</v>
      </c>
    </row>
    <row r="1763" spans="1:13">
      <c r="A1763" s="8" t="s">
        <v>1774</v>
      </c>
      <c r="B1763" s="2">
        <f>HYPERLINK("https://www.suredividend.com/sure-analysis-research-database/","TrueCar, Inc.")</f>
        <v>0</v>
      </c>
      <c r="C1763" s="1" t="s">
        <v>1968</v>
      </c>
      <c r="D1763" s="3">
        <v>2.54</v>
      </c>
      <c r="F1763" s="4">
        <v>0</v>
      </c>
      <c r="G1763" s="3">
        <v>0.5</v>
      </c>
      <c r="H1763" s="5">
        <v>225.907727</v>
      </c>
      <c r="J1763" s="4">
        <v>0</v>
      </c>
      <c r="K1763" s="7">
        <v>2.4386</v>
      </c>
      <c r="L1763" s="3">
        <v>3.83</v>
      </c>
      <c r="M1763" s="3">
        <v>1.05</v>
      </c>
    </row>
    <row r="1764" spans="1:13">
      <c r="A1764" s="8" t="s">
        <v>1775</v>
      </c>
      <c r="B1764" s="2">
        <f>HYPERLINK("https://www.suredividend.com/sure-analysis-research-database/","TRUPANION, INC.")</f>
        <v>0</v>
      </c>
      <c r="C1764" s="1" t="s">
        <v>1962</v>
      </c>
      <c r="D1764" s="3">
        <v>31.75</v>
      </c>
      <c r="F1764" s="4">
        <v>0</v>
      </c>
      <c r="G1764" s="3">
        <v>0</v>
      </c>
      <c r="H1764" s="5">
        <v>1371.541707</v>
      </c>
      <c r="I1764" s="6">
        <v>88.7212</v>
      </c>
      <c r="J1764" s="4">
        <v>0</v>
      </c>
      <c r="K1764" s="7">
        <v>1.5874</v>
      </c>
      <c r="L1764" s="3">
        <v>57.89</v>
      </c>
      <c r="M1764" s="3">
        <v>30.85</v>
      </c>
    </row>
    <row r="1765" spans="1:13">
      <c r="A1765" s="8" t="s">
        <v>1776</v>
      </c>
      <c r="B1765" s="2">
        <f>HYPERLINK("https://www.suredividend.com/sure-analysis-research-database/","Trevi Therapeutics, Inc.")</f>
        <v>0</v>
      </c>
      <c r="C1765" s="1" t="s">
        <v>1965</v>
      </c>
      <c r="D1765" s="3">
        <v>10.32</v>
      </c>
      <c r="F1765" s="4">
        <v>0</v>
      </c>
      <c r="G1765" s="3">
        <v>0</v>
      </c>
      <c r="H1765" s="5">
        <v>1320.77038</v>
      </c>
      <c r="J1765" s="4">
        <v>0</v>
      </c>
      <c r="K1765" s="7">
        <v>0.672</v>
      </c>
      <c r="L1765" s="3">
        <v>14.39</v>
      </c>
      <c r="M1765" s="3">
        <v>3.47</v>
      </c>
    </row>
    <row r="1766" spans="1:13">
      <c r="A1766" s="8" t="s">
        <v>1777</v>
      </c>
      <c r="B1766" s="2">
        <f>HYPERLINK("https://www.suredividend.com/sure-analysis-TSBK/","TIMBERLAND BANCORP INC")</f>
        <v>0</v>
      </c>
      <c r="C1766" s="1" t="s">
        <v>1962</v>
      </c>
      <c r="D1766" s="3">
        <v>37.51</v>
      </c>
      <c r="E1766" s="4">
        <v>0.02985870434550787</v>
      </c>
      <c r="F1766" s="4">
        <v>0.02589</v>
      </c>
      <c r="G1766" s="3">
        <v>1.05</v>
      </c>
      <c r="H1766" s="5">
        <v>295.292564</v>
      </c>
      <c r="I1766" s="6">
        <v>10.1263</v>
      </c>
      <c r="J1766" s="4">
        <v>0.277254</v>
      </c>
      <c r="K1766" s="7">
        <v>0.6446</v>
      </c>
      <c r="L1766" s="3">
        <v>38.28</v>
      </c>
      <c r="M1766" s="3">
        <v>26.83</v>
      </c>
    </row>
    <row r="1767" spans="1:13">
      <c r="A1767" s="8" t="s">
        <v>1778</v>
      </c>
      <c r="B1767" s="2">
        <f>HYPERLINK("https://www.suredividend.com/sure-analysis-research-database/","Taysha Gene Therapies, Inc.")</f>
        <v>0</v>
      </c>
      <c r="C1767" s="1" t="s">
        <v>1959</v>
      </c>
      <c r="D1767" s="3">
        <v>4.78</v>
      </c>
      <c r="F1767" s="4">
        <v>0</v>
      </c>
      <c r="G1767" s="3">
        <v>0</v>
      </c>
      <c r="H1767" s="5">
        <v>1309.334603</v>
      </c>
      <c r="J1767" s="4">
        <v>0</v>
      </c>
      <c r="K1767" s="7">
        <v>2.0345</v>
      </c>
      <c r="L1767" s="3">
        <v>6.02</v>
      </c>
      <c r="M1767" s="3">
        <v>1.05</v>
      </c>
    </row>
    <row r="1768" spans="1:13">
      <c r="A1768" s="8" t="s">
        <v>1779</v>
      </c>
      <c r="B1768" s="2">
        <f>HYPERLINK("https://www.suredividend.com/sure-analysis-research-database/","Townsquare Media, Inc.")</f>
        <v>0</v>
      </c>
      <c r="C1768" s="1" t="s">
        <v>1968</v>
      </c>
      <c r="D1768" s="3">
        <v>5.85</v>
      </c>
      <c r="E1768" s="4">
        <v>0.14</v>
      </c>
      <c r="F1768" s="4">
        <v>0.08075</v>
      </c>
      <c r="G1768" s="3">
        <v>0.8</v>
      </c>
      <c r="H1768" s="5">
        <v>94.154724</v>
      </c>
      <c r="I1768" s="6">
        <v>5.162</v>
      </c>
      <c r="J1768" s="4">
        <v>0.735293</v>
      </c>
      <c r="K1768" s="7">
        <v>0.775</v>
      </c>
      <c r="L1768" s="3">
        <v>8.84</v>
      </c>
      <c r="M1768" s="3">
        <v>4.3</v>
      </c>
    </row>
    <row r="1769" spans="1:13">
      <c r="A1769" s="8" t="s">
        <v>1780</v>
      </c>
      <c r="B1769" s="2">
        <f>HYPERLINK("https://www.suredividend.com/sure-analysis-research-database/","TTEC Holdings, Inc.")</f>
        <v>0</v>
      </c>
      <c r="C1769" s="1" t="s">
        <v>1960</v>
      </c>
      <c r="D1769" s="3">
        <v>3.31</v>
      </c>
      <c r="F1769" s="4">
        <v>0.16825</v>
      </c>
      <c r="G1769" s="3">
        <v>0.58</v>
      </c>
      <c r="H1769" s="5">
        <v>157.786415</v>
      </c>
      <c r="K1769" s="7">
        <v>0.6981000000000001</v>
      </c>
      <c r="L1769" s="3">
        <v>5.6</v>
      </c>
      <c r="M1769" s="3">
        <v>2.49</v>
      </c>
    </row>
    <row r="1770" spans="1:13">
      <c r="A1770" s="8" t="s">
        <v>1781</v>
      </c>
      <c r="B1770" s="2">
        <f>HYPERLINK("https://www.suredividend.com/sure-analysis-research-database/","TechTarget, Inc.")</f>
        <v>0</v>
      </c>
      <c r="C1770" s="1" t="s">
        <v>1968</v>
      </c>
      <c r="D1770" s="3">
        <v>5.32</v>
      </c>
      <c r="F1770" s="4">
        <v>0</v>
      </c>
      <c r="G1770" s="3">
        <v>0</v>
      </c>
      <c r="H1770" s="5">
        <v>155.822779</v>
      </c>
      <c r="J1770" s="4">
        <v>0</v>
      </c>
      <c r="K1770" s="7">
        <v>1.3629</v>
      </c>
      <c r="L1770" s="3">
        <v>19.29</v>
      </c>
      <c r="M1770" s="3">
        <v>4.63</v>
      </c>
    </row>
    <row r="1771" spans="1:13">
      <c r="A1771" s="8" t="s">
        <v>1782</v>
      </c>
      <c r="B1771" s="2">
        <f>HYPERLINK("https://www.suredividend.com/sure-analysis-research-database/","TETRA TECHNOLOGIES INC")</f>
        <v>0</v>
      </c>
      <c r="C1771" s="1" t="s">
        <v>1969</v>
      </c>
      <c r="D1771" s="3">
        <v>11.44</v>
      </c>
      <c r="F1771" s="4">
        <v>0</v>
      </c>
      <c r="G1771" s="3">
        <v>0</v>
      </c>
      <c r="H1771" s="5">
        <v>1530.062408</v>
      </c>
      <c r="I1771" s="6">
        <v>12.518</v>
      </c>
      <c r="J1771" s="4">
        <v>0</v>
      </c>
      <c r="K1771" s="7">
        <v>0.919</v>
      </c>
      <c r="L1771" s="3">
        <v>11.88</v>
      </c>
      <c r="M1771" s="3">
        <v>2.03</v>
      </c>
    </row>
    <row r="1772" spans="1:13">
      <c r="A1772" s="8" t="s">
        <v>1783</v>
      </c>
      <c r="B1772" s="2">
        <f>HYPERLINK("https://www.suredividend.com/sure-analysis-research-database/","TTM TECHNOLOGIES INC")</f>
        <v>0</v>
      </c>
      <c r="C1772" s="1" t="s">
        <v>1960</v>
      </c>
      <c r="D1772" s="3">
        <v>101.65</v>
      </c>
      <c r="F1772" s="4">
        <v>0</v>
      </c>
      <c r="G1772" s="3">
        <v>0</v>
      </c>
      <c r="H1772" s="5">
        <v>10319.639506</v>
      </c>
      <c r="I1772" s="6">
        <v>78.2188</v>
      </c>
      <c r="J1772" s="4">
        <v>0</v>
      </c>
      <c r="K1772" s="7">
        <v>1.8671</v>
      </c>
      <c r="L1772" s="3">
        <v>106.68</v>
      </c>
      <c r="M1772" s="3">
        <v>15.77</v>
      </c>
    </row>
    <row r="1773" spans="1:13">
      <c r="A1773" s="8" t="s">
        <v>1784</v>
      </c>
      <c r="B1773" s="2">
        <f>HYPERLINK("https://www.suredividend.com/sure-analysis-research-database/","TILE SHOP HOLDINGS, INC.")</f>
        <v>0</v>
      </c>
      <c r="C1773" s="1" t="s">
        <v>1963</v>
      </c>
      <c r="D1773" s="3">
        <v>3.55</v>
      </c>
      <c r="F1773" s="4">
        <v>0</v>
      </c>
      <c r="G1773" s="3">
        <v>0.1</v>
      </c>
      <c r="H1773" s="5">
        <v>158.738254</v>
      </c>
      <c r="J1773" s="4">
        <v>0</v>
      </c>
      <c r="K1773" s="7">
        <v>2.4675</v>
      </c>
      <c r="L1773" s="3">
        <v>4.21</v>
      </c>
      <c r="M1773" s="3">
        <v>2.96</v>
      </c>
    </row>
    <row r="1774" spans="1:13">
      <c r="A1774" s="8" t="s">
        <v>1785</v>
      </c>
      <c r="B1774" s="2">
        <f>HYPERLINK("https://www.suredividend.com/sure-analysis-research-database/","MAMMOTH ENERGY SERVICES, INC.")</f>
        <v>0</v>
      </c>
      <c r="C1774" s="1" t="s">
        <v>1969</v>
      </c>
      <c r="D1774" s="3">
        <v>2.39</v>
      </c>
      <c r="F1774" s="4">
        <v>0</v>
      </c>
      <c r="G1774" s="3">
        <v>0.5</v>
      </c>
      <c r="H1774" s="5">
        <v>115.183744</v>
      </c>
      <c r="J1774" s="4">
        <v>0</v>
      </c>
      <c r="K1774" s="7">
        <v>0.5092</v>
      </c>
      <c r="L1774" s="3">
        <v>3.52</v>
      </c>
      <c r="M1774" s="3">
        <v>1.68</v>
      </c>
    </row>
    <row r="1775" spans="1:13">
      <c r="A1775" s="8" t="s">
        <v>1786</v>
      </c>
      <c r="B1775" s="2">
        <f>HYPERLINK("https://www.suredividend.com/sure-analysis-research-database/","Travere Therapeutics, Inc.")</f>
        <v>0</v>
      </c>
      <c r="C1775" s="1" t="s">
        <v>1959</v>
      </c>
      <c r="D1775" s="3">
        <v>28.49</v>
      </c>
      <c r="F1775" s="4">
        <v>0</v>
      </c>
      <c r="G1775" s="3">
        <v>0</v>
      </c>
      <c r="H1775" s="5">
        <v>2527.593238</v>
      </c>
      <c r="J1775" s="4">
        <v>0</v>
      </c>
      <c r="K1775" s="7">
        <v>1.6022</v>
      </c>
      <c r="L1775" s="3">
        <v>42.13</v>
      </c>
      <c r="M1775" s="3">
        <v>12.91</v>
      </c>
    </row>
    <row r="1776" spans="1:13">
      <c r="A1776" s="8" t="s">
        <v>1787</v>
      </c>
      <c r="B1776" s="2">
        <f>HYPERLINK("https://www.suredividend.com/sure-analysis-research-database/","TITAN INTERNATIONAL INC")</f>
        <v>0</v>
      </c>
      <c r="C1776" s="1" t="s">
        <v>1964</v>
      </c>
      <c r="D1776" s="3">
        <v>9.16</v>
      </c>
      <c r="F1776" s="4">
        <v>0</v>
      </c>
      <c r="G1776" s="3">
        <v>0.02</v>
      </c>
      <c r="H1776" s="5">
        <v>585.795685</v>
      </c>
      <c r="J1776" s="4">
        <v>0</v>
      </c>
      <c r="K1776" s="7">
        <v>1.4555</v>
      </c>
      <c r="L1776" s="3">
        <v>10.94</v>
      </c>
      <c r="M1776" s="3">
        <v>5.93</v>
      </c>
    </row>
    <row r="1777" spans="1:13">
      <c r="A1777" s="8" t="s">
        <v>1788</v>
      </c>
      <c r="B1777" s="2">
        <f>HYPERLINK("https://www.suredividend.com/sure-analysis-research-database/","TWIN DISC INC")</f>
        <v>0</v>
      </c>
      <c r="C1777" s="1" t="s">
        <v>1964</v>
      </c>
      <c r="D1777" s="3">
        <v>18.24</v>
      </c>
      <c r="E1777" s="4">
        <v>0.01</v>
      </c>
      <c r="F1777" s="4">
        <v>0.00433</v>
      </c>
      <c r="G1777" s="3">
        <v>0.16</v>
      </c>
      <c r="H1777" s="5">
        <v>261.574404</v>
      </c>
      <c r="I1777" s="6">
        <v>741.004</v>
      </c>
      <c r="J1777" s="4">
        <v>3.39816</v>
      </c>
      <c r="K1777" s="7">
        <v>0.871</v>
      </c>
      <c r="L1777" s="3">
        <v>19.33</v>
      </c>
      <c r="M1777" s="3">
        <v>6.08</v>
      </c>
    </row>
    <row r="1778" spans="1:13">
      <c r="A1778" s="8" t="s">
        <v>1789</v>
      </c>
      <c r="B1778" s="2">
        <f>HYPERLINK("https://www.suredividend.com/sure-analysis-research-database/","TWO HARBORS INVESTMENT CORP.")</f>
        <v>0</v>
      </c>
      <c r="C1778" s="1" t="s">
        <v>1961</v>
      </c>
      <c r="D1778" s="3">
        <v>13.52</v>
      </c>
      <c r="E1778" s="4">
        <v>0.11</v>
      </c>
      <c r="F1778" s="4">
        <v>0.20634</v>
      </c>
      <c r="G1778" s="3">
        <v>1.52</v>
      </c>
      <c r="H1778" s="5">
        <v>1399.854194</v>
      </c>
      <c r="K1778" s="7">
        <v>1.1611</v>
      </c>
      <c r="L1778" s="3">
        <v>14.17</v>
      </c>
      <c r="M1778" s="3">
        <v>8.880000000000001</v>
      </c>
    </row>
    <row r="1779" spans="1:13">
      <c r="A1779" s="8" t="s">
        <v>1790</v>
      </c>
      <c r="B1779" s="2">
        <f>HYPERLINK("https://www.suredividend.com/sure-analysis-research-database/","Twist Bioscience Corp")</f>
        <v>0</v>
      </c>
      <c r="C1779" s="1" t="s">
        <v>1965</v>
      </c>
      <c r="D1779" s="3">
        <v>43.73</v>
      </c>
      <c r="F1779" s="4">
        <v>0</v>
      </c>
      <c r="G1779" s="3">
        <v>0</v>
      </c>
      <c r="H1779" s="5">
        <v>2669.111335</v>
      </c>
      <c r="J1779" s="4">
        <v>0</v>
      </c>
      <c r="K1779" s="7">
        <v>2.4732</v>
      </c>
      <c r="L1779" s="3">
        <v>55.33</v>
      </c>
      <c r="M1779" s="3">
        <v>23.3</v>
      </c>
    </row>
    <row r="1780" spans="1:13">
      <c r="A1780" s="8" t="s">
        <v>1791</v>
      </c>
      <c r="B1780" s="2">
        <f>HYPERLINK("https://www.suredividend.com/sure-analysis-TXNM/","TXNM ENERGY INC")</f>
        <v>0</v>
      </c>
      <c r="C1780" s="1" t="s">
        <v>1959</v>
      </c>
      <c r="D1780" s="3">
        <v>59.305</v>
      </c>
      <c r="E1780" s="4">
        <v>0.0284967540679538</v>
      </c>
      <c r="F1780" s="4">
        <v>0.02491</v>
      </c>
      <c r="G1780" s="3">
        <v>1.63</v>
      </c>
      <c r="H1780" s="5">
        <v>5090.866377</v>
      </c>
      <c r="I1780" s="6">
        <v>28.7746</v>
      </c>
      <c r="J1780" s="4">
        <v>0.893659</v>
      </c>
      <c r="K1780" s="7">
        <v>0.1276</v>
      </c>
      <c r="L1780" s="3">
        <v>59.31</v>
      </c>
      <c r="M1780" s="3">
        <v>45.22</v>
      </c>
    </row>
    <row r="1781" spans="1:13">
      <c r="A1781" s="8" t="s">
        <v>1792</v>
      </c>
      <c r="B1781" s="2">
        <f>HYPERLINK("https://www.suredividend.com/sure-analysis-research-database/","Tyra Biosciences, Inc.")</f>
        <v>0</v>
      </c>
      <c r="C1781" s="1" t="s">
        <v>1959</v>
      </c>
      <c r="D1781" s="3">
        <v>29.87</v>
      </c>
      <c r="F1781" s="4">
        <v>0</v>
      </c>
      <c r="G1781" s="3">
        <v>0</v>
      </c>
      <c r="H1781" s="5">
        <v>1570.740844</v>
      </c>
      <c r="J1781" s="4">
        <v>0</v>
      </c>
      <c r="K1781" s="7">
        <v>1.9772</v>
      </c>
      <c r="L1781" s="3">
        <v>31.16</v>
      </c>
      <c r="M1781" s="3">
        <v>6.42</v>
      </c>
    </row>
    <row r="1782" spans="1:13">
      <c r="A1782" s="8" t="s">
        <v>1793</v>
      </c>
      <c r="B1782" s="2">
        <f>HYPERLINK("https://www.suredividend.com/sure-analysis-UBSI/","UNITED BANKSHARES INC/WV")</f>
        <v>0</v>
      </c>
      <c r="C1782" s="1" t="s">
        <v>1962</v>
      </c>
      <c r="D1782" s="3">
        <v>43.03</v>
      </c>
      <c r="E1782" s="4">
        <v>0.03532419242389031</v>
      </c>
      <c r="F1782" s="4">
        <v>0.037</v>
      </c>
      <c r="G1782" s="3">
        <v>1.49</v>
      </c>
      <c r="H1782" s="5">
        <v>6007.021806</v>
      </c>
      <c r="I1782" s="6">
        <v>13.9639</v>
      </c>
      <c r="J1782" s="4">
        <v>0.480521</v>
      </c>
      <c r="K1782" s="7">
        <v>0.86</v>
      </c>
      <c r="L1782" s="3">
        <v>42.86</v>
      </c>
      <c r="M1782" s="3">
        <v>29.61</v>
      </c>
    </row>
    <row r="1783" spans="1:13">
      <c r="A1783" s="8" t="s">
        <v>1794</v>
      </c>
      <c r="B1783" s="2">
        <f>HYPERLINK("https://www.suredividend.com/sure-analysis-UCB/","UNITED COMMUNITY BANKS INC")</f>
        <v>0</v>
      </c>
      <c r="C1783" s="1" t="s">
        <v>1959</v>
      </c>
      <c r="D1783" s="3">
        <v>35.15</v>
      </c>
      <c r="E1783" s="4">
        <v>0.02844950213371266</v>
      </c>
      <c r="F1783" s="4">
        <v>0.02777</v>
      </c>
      <c r="G1783" s="3">
        <v>0.98</v>
      </c>
      <c r="H1783" s="5">
        <v>4297.1578</v>
      </c>
      <c r="I1783" s="6">
        <v>13.8794</v>
      </c>
      <c r="J1783" s="4">
        <v>0.387523</v>
      </c>
      <c r="K1783" s="7">
        <v>1.1316</v>
      </c>
      <c r="L1783" s="3">
        <v>34.15</v>
      </c>
      <c r="M1783" s="3">
        <v>22.39</v>
      </c>
    </row>
    <row r="1784" spans="1:13">
      <c r="A1784" s="8" t="s">
        <v>1795</v>
      </c>
      <c r="B1784" s="2">
        <f>HYPERLINK("https://www.suredividend.com/sure-analysis-research-database/","Ultra Clean Holdings, Inc.")</f>
        <v>0</v>
      </c>
      <c r="C1784" s="1" t="s">
        <v>1960</v>
      </c>
      <c r="D1784" s="3">
        <v>47.92</v>
      </c>
      <c r="F1784" s="4">
        <v>0</v>
      </c>
      <c r="G1784" s="3">
        <v>0</v>
      </c>
      <c r="H1784" s="5">
        <v>2142.270554</v>
      </c>
      <c r="K1784" s="7">
        <v>2.2882</v>
      </c>
      <c r="L1784" s="3">
        <v>46</v>
      </c>
      <c r="M1784" s="3">
        <v>16.66</v>
      </c>
    </row>
    <row r="1785" spans="1:13">
      <c r="A1785" s="8" t="s">
        <v>1796</v>
      </c>
      <c r="B1785" s="2">
        <f>HYPERLINK("https://www.suredividend.com/sure-analysis-research-database/","Udemy, Inc.")</f>
        <v>0</v>
      </c>
      <c r="C1785" s="1" t="s">
        <v>1959</v>
      </c>
      <c r="D1785" s="3">
        <v>4.98</v>
      </c>
      <c r="F1785" s="4">
        <v>0</v>
      </c>
      <c r="G1785" s="3">
        <v>0</v>
      </c>
      <c r="H1785" s="5">
        <v>728.95629</v>
      </c>
      <c r="J1785" s="4">
        <v>0</v>
      </c>
      <c r="K1785" s="7">
        <v>1.7907</v>
      </c>
      <c r="L1785" s="3">
        <v>10.61</v>
      </c>
      <c r="M1785" s="3">
        <v>4.86</v>
      </c>
    </row>
    <row r="1786" spans="1:13">
      <c r="A1786" s="8" t="s">
        <v>1797</v>
      </c>
      <c r="B1786" s="2">
        <f>HYPERLINK("https://www.suredividend.com/sure-analysis-UE/","Urban Edge Properties")</f>
        <v>0</v>
      </c>
      <c r="C1786" s="1" t="s">
        <v>1961</v>
      </c>
      <c r="D1786" s="3">
        <v>19.26</v>
      </c>
      <c r="E1786" s="4">
        <v>0.03946002076843198</v>
      </c>
      <c r="F1786" s="4">
        <v>0.03487</v>
      </c>
      <c r="G1786" s="3">
        <v>0.76</v>
      </c>
      <c r="H1786" s="5">
        <v>2425.200298</v>
      </c>
      <c r="I1786" s="6">
        <v>21.8031</v>
      </c>
      <c r="J1786" s="4">
        <v>0.799763</v>
      </c>
      <c r="K1786" s="7">
        <v>0.9895</v>
      </c>
      <c r="L1786" s="3">
        <v>21.09</v>
      </c>
      <c r="M1786" s="3">
        <v>15.21</v>
      </c>
    </row>
    <row r="1787" spans="1:13">
      <c r="A1787" s="8" t="s">
        <v>1798</v>
      </c>
      <c r="B1787" s="2">
        <f>HYPERLINK("https://www.suredividend.com/sure-analysis-research-database/","URANIUM ENERGY CORP")</f>
        <v>0</v>
      </c>
      <c r="C1787" s="1" t="s">
        <v>1969</v>
      </c>
      <c r="D1787" s="3">
        <v>19.25</v>
      </c>
      <c r="F1787" s="4">
        <v>0</v>
      </c>
      <c r="G1787" s="3">
        <v>0</v>
      </c>
      <c r="H1787" s="5">
        <v>9097.162705999999</v>
      </c>
      <c r="J1787" s="4">
        <v>0</v>
      </c>
      <c r="K1787" s="7">
        <v>1.5527</v>
      </c>
      <c r="L1787" s="3">
        <v>18.72</v>
      </c>
      <c r="M1787" s="3">
        <v>3.85</v>
      </c>
    </row>
    <row r="1788" spans="1:13">
      <c r="A1788" s="8" t="s">
        <v>1799</v>
      </c>
      <c r="B1788" s="2">
        <f>HYPERLINK("https://www.suredividend.com/sure-analysis-research-database/","UNITED FIRE GROUP INC")</f>
        <v>0</v>
      </c>
      <c r="C1788" s="1" t="s">
        <v>1962</v>
      </c>
      <c r="D1788" s="3">
        <v>35.48</v>
      </c>
      <c r="E1788" s="4">
        <v>0.02</v>
      </c>
      <c r="F1788" s="4">
        <v>0.01761</v>
      </c>
      <c r="G1788" s="3">
        <v>0.64</v>
      </c>
      <c r="H1788" s="5">
        <v>905.75868</v>
      </c>
      <c r="I1788" s="6">
        <v>8.1395</v>
      </c>
      <c r="J1788" s="4">
        <v>0.146308</v>
      </c>
      <c r="K1788" s="7">
        <v>0.5496</v>
      </c>
      <c r="L1788" s="3">
        <v>37.91</v>
      </c>
      <c r="M1788" s="3">
        <v>23.61</v>
      </c>
    </row>
    <row r="1789" spans="1:13">
      <c r="A1789" s="8" t="s">
        <v>1800</v>
      </c>
      <c r="B1789" s="2">
        <f>HYPERLINK("https://www.suredividend.com/sure-analysis-UFPI/","UFP INDUSTRIES INC")</f>
        <v>0</v>
      </c>
      <c r="C1789" s="1" t="s">
        <v>1970</v>
      </c>
      <c r="D1789" s="3">
        <v>107.72</v>
      </c>
      <c r="E1789" s="4">
        <v>0.012996658002228</v>
      </c>
      <c r="F1789" s="4">
        <v>0.01143</v>
      </c>
      <c r="G1789" s="3">
        <v>1.4</v>
      </c>
      <c r="H1789" s="5">
        <v>6273.13788</v>
      </c>
      <c r="I1789" s="6">
        <v>19.4292</v>
      </c>
      <c r="J1789" s="4">
        <v>0.257451</v>
      </c>
      <c r="K1789" s="7">
        <v>1.029</v>
      </c>
      <c r="L1789" s="3">
        <v>118.16</v>
      </c>
      <c r="M1789" s="3">
        <v>86.78</v>
      </c>
    </row>
    <row r="1790" spans="1:13">
      <c r="A1790" s="8" t="s">
        <v>1801</v>
      </c>
      <c r="B1790" s="2">
        <f>HYPERLINK("https://www.suredividend.com/sure-analysis-research-database/","UFP TECHNOLOGIES INC")</f>
        <v>0</v>
      </c>
      <c r="C1790" s="1" t="s">
        <v>1963</v>
      </c>
      <c r="D1790" s="3">
        <v>265.7</v>
      </c>
      <c r="F1790" s="4">
        <v>0</v>
      </c>
      <c r="G1790" s="3">
        <v>0</v>
      </c>
      <c r="H1790" s="5">
        <v>2045.108775</v>
      </c>
      <c r="I1790" s="6">
        <v>31.0665</v>
      </c>
      <c r="J1790" s="4">
        <v>0</v>
      </c>
      <c r="K1790" s="7">
        <v>1.3588</v>
      </c>
      <c r="L1790" s="3">
        <v>289.57</v>
      </c>
      <c r="M1790" s="3">
        <v>178.26</v>
      </c>
    </row>
    <row r="1791" spans="1:13">
      <c r="A1791" s="8" t="s">
        <v>1802</v>
      </c>
      <c r="B1791" s="2">
        <f>HYPERLINK("https://www.suredividend.com/sure-analysis-research-database/","United Homes Group, Inc.")</f>
        <v>0</v>
      </c>
      <c r="C1791" s="1" t="s">
        <v>1959</v>
      </c>
      <c r="D1791" s="3">
        <v>1.63</v>
      </c>
      <c r="F1791" s="4">
        <v>0</v>
      </c>
      <c r="G1791" s="3">
        <v>0</v>
      </c>
      <c r="H1791" s="5">
        <v>98.21877499999999</v>
      </c>
      <c r="J1791" s="4">
        <v>0</v>
      </c>
      <c r="K1791" s="7">
        <v>1.2985</v>
      </c>
      <c r="L1791" s="3">
        <v>4.81</v>
      </c>
      <c r="M1791" s="3">
        <v>0.99</v>
      </c>
    </row>
    <row r="1792" spans="1:13">
      <c r="A1792" s="8" t="s">
        <v>1803</v>
      </c>
      <c r="B1792" s="2">
        <f>HYPERLINK("https://www.suredividend.com/sure-analysis-UHT/","UNIVERSAL HEALTH REALTY INCOME TRUST")</f>
        <v>0</v>
      </c>
      <c r="C1792" s="1" t="s">
        <v>1961</v>
      </c>
      <c r="D1792" s="3">
        <v>39.59</v>
      </c>
      <c r="E1792" s="4">
        <v>0.07527153321545844</v>
      </c>
      <c r="F1792" s="4">
        <v>0.07247000000000001</v>
      </c>
      <c r="G1792" s="3">
        <v>2.96</v>
      </c>
      <c r="H1792" s="5">
        <v>549.9502179999999</v>
      </c>
      <c r="I1792" s="6">
        <v>30.6447</v>
      </c>
      <c r="J1792" s="4">
        <v>2.277221</v>
      </c>
      <c r="K1792" s="7">
        <v>0.5125999999999999</v>
      </c>
      <c r="L1792" s="3">
        <v>42.23</v>
      </c>
      <c r="M1792" s="3">
        <v>33.83</v>
      </c>
    </row>
    <row r="1793" spans="1:13">
      <c r="A1793" s="8" t="s">
        <v>1804</v>
      </c>
      <c r="B1793" s="2">
        <f>HYPERLINK("https://www.suredividend.com/sure-analysis-research-database/","UNISYS CORP")</f>
        <v>0</v>
      </c>
      <c r="C1793" s="1" t="s">
        <v>1960</v>
      </c>
      <c r="D1793" s="3">
        <v>2.995</v>
      </c>
      <c r="F1793" s="4">
        <v>0</v>
      </c>
      <c r="G1793" s="3">
        <v>102.5</v>
      </c>
      <c r="H1793" s="5">
        <v>213.205257</v>
      </c>
      <c r="J1793" s="4">
        <v>0</v>
      </c>
      <c r="K1793" s="7">
        <v>1.9438</v>
      </c>
      <c r="L1793" s="3">
        <v>7.54</v>
      </c>
      <c r="M1793" s="3">
        <v>2.37</v>
      </c>
    </row>
    <row r="1794" spans="1:13">
      <c r="A1794" s="8" t="s">
        <v>1805</v>
      </c>
      <c r="B1794" s="2">
        <f>HYPERLINK("https://www.suredividend.com/sure-analysis-research-database/","ULTRALIFE CORP")</f>
        <v>0</v>
      </c>
      <c r="C1794" s="1" t="s">
        <v>1964</v>
      </c>
      <c r="D1794" s="3">
        <v>6.64</v>
      </c>
      <c r="F1794" s="4">
        <v>0</v>
      </c>
      <c r="G1794" s="3">
        <v>0</v>
      </c>
      <c r="H1794" s="5">
        <v>109.300337</v>
      </c>
      <c r="I1794" s="6">
        <v>63.6207</v>
      </c>
      <c r="J1794" s="4">
        <v>0</v>
      </c>
      <c r="K1794" s="7">
        <v>1.6962</v>
      </c>
      <c r="L1794" s="3">
        <v>9.52</v>
      </c>
      <c r="M1794" s="3">
        <v>4.07</v>
      </c>
    </row>
    <row r="1795" spans="1:13">
      <c r="A1795" s="8" t="s">
        <v>1806</v>
      </c>
      <c r="B1795" s="2">
        <f>HYPERLINK("https://www.suredividend.com/sure-analysis-research-database/","Frontier Group Holdings, Inc.")</f>
        <v>0</v>
      </c>
      <c r="C1795" s="1" t="s">
        <v>1959</v>
      </c>
      <c r="D1795" s="3">
        <v>5.33</v>
      </c>
      <c r="F1795" s="4">
        <v>0</v>
      </c>
      <c r="G1795" s="3">
        <v>0</v>
      </c>
      <c r="H1795" s="5">
        <v>1224.88739</v>
      </c>
      <c r="J1795" s="4">
        <v>0</v>
      </c>
      <c r="K1795" s="7">
        <v>1.8189</v>
      </c>
      <c r="L1795" s="3">
        <v>10.26</v>
      </c>
      <c r="M1795" s="3">
        <v>2.89</v>
      </c>
    </row>
    <row r="1796" spans="1:13">
      <c r="A1796" s="8" t="s">
        <v>1807</v>
      </c>
      <c r="B1796" s="2">
        <f>HYPERLINK("https://www.suredividend.com/sure-analysis-research-database/","UNIVERSAL LOGISTICS HOLDINGS, INC.")</f>
        <v>0</v>
      </c>
      <c r="C1796" s="1" t="s">
        <v>1964</v>
      </c>
      <c r="D1796" s="3">
        <v>17.68</v>
      </c>
      <c r="E1796" s="4">
        <v>0.02</v>
      </c>
      <c r="F1796" s="4">
        <v>0.02763</v>
      </c>
      <c r="G1796" s="3">
        <v>0.42</v>
      </c>
      <c r="H1796" s="5">
        <v>466.305327</v>
      </c>
      <c r="K1796" s="7">
        <v>1.5274</v>
      </c>
      <c r="L1796" s="3">
        <v>46.52</v>
      </c>
      <c r="M1796" s="3">
        <v>12.69</v>
      </c>
    </row>
    <row r="1797" spans="1:13">
      <c r="A1797" s="8" t="s">
        <v>1808</v>
      </c>
      <c r="B1797" s="2">
        <f>HYPERLINK("https://www.suredividend.com/sure-analysis-UMBF/","UMB FINANCIAL CORP")</f>
        <v>0</v>
      </c>
      <c r="C1797" s="1" t="s">
        <v>1962</v>
      </c>
      <c r="D1797" s="3">
        <v>126.37</v>
      </c>
      <c r="E1797" s="4">
        <v>0.01361082535411886</v>
      </c>
      <c r="F1797" s="4">
        <v>0.01252</v>
      </c>
      <c r="G1797" s="3">
        <v>1.63</v>
      </c>
      <c r="H1797" s="5">
        <v>9596.111744</v>
      </c>
      <c r="I1797" s="6">
        <v>16.126</v>
      </c>
      <c r="J1797" s="4">
        <v>0.188671</v>
      </c>
      <c r="K1797" s="7">
        <v>1.1094</v>
      </c>
      <c r="L1797" s="3">
        <v>125.25</v>
      </c>
      <c r="M1797" s="3">
        <v>81.12</v>
      </c>
    </row>
    <row r="1798" spans="1:13">
      <c r="A1798" s="8" t="s">
        <v>1809</v>
      </c>
      <c r="B1798" s="2">
        <f>HYPERLINK("https://www.suredividend.com/sure-analysis-UMH/","UMH PROPERTIES, INC.")</f>
        <v>0</v>
      </c>
      <c r="C1798" s="1" t="s">
        <v>1961</v>
      </c>
      <c r="D1798" s="3">
        <v>16.23</v>
      </c>
      <c r="E1798" s="4">
        <v>0.05545286506469501</v>
      </c>
      <c r="F1798" s="4">
        <v>0.05124</v>
      </c>
      <c r="G1798" s="3">
        <v>0.89</v>
      </c>
      <c r="H1798" s="5">
        <v>1376.47532</v>
      </c>
      <c r="I1798" s="6">
        <v>211.7654</v>
      </c>
      <c r="J1798" s="4">
        <v>3.361807</v>
      </c>
      <c r="K1798" s="7">
        <v>0.5503</v>
      </c>
      <c r="L1798" s="3">
        <v>18.35</v>
      </c>
      <c r="M1798" s="3">
        <v>13.74</v>
      </c>
    </row>
    <row r="1799" spans="1:13">
      <c r="A1799" s="8" t="s">
        <v>1810</v>
      </c>
      <c r="B1799" s="2">
        <f>HYPERLINK("https://www.suredividend.com/sure-analysis-UNF/","UNIFIRST CORP")</f>
        <v>0</v>
      </c>
      <c r="C1799" s="1" t="s">
        <v>1964</v>
      </c>
      <c r="D1799" s="3">
        <v>207.1</v>
      </c>
      <c r="E1799" s="4">
        <v>0.007049734427812651</v>
      </c>
      <c r="F1799" s="4">
        <v>0.00618</v>
      </c>
      <c r="G1799" s="3">
        <v>1.42</v>
      </c>
      <c r="H1799" s="5">
        <v>3728.905734</v>
      </c>
      <c r="I1799" s="6">
        <v>27.1169</v>
      </c>
      <c r="J1799" s="4">
        <v>0.172123</v>
      </c>
      <c r="K1799" s="7">
        <v>0.6362</v>
      </c>
      <c r="L1799" s="3">
        <v>229.99</v>
      </c>
      <c r="M1799" s="3">
        <v>147.36</v>
      </c>
    </row>
    <row r="1800" spans="1:13">
      <c r="A1800" s="8" t="s">
        <v>1811</v>
      </c>
      <c r="B1800" s="2">
        <f>HYPERLINK("https://www.suredividend.com/sure-analysis-research-database/","UNITED NATURAL FOODS INC")</f>
        <v>0</v>
      </c>
      <c r="C1800" s="1" t="s">
        <v>1966</v>
      </c>
      <c r="D1800" s="3">
        <v>34.37</v>
      </c>
      <c r="F1800" s="4">
        <v>0</v>
      </c>
      <c r="G1800" s="3">
        <v>0</v>
      </c>
      <c r="H1800" s="5">
        <v>2094.835868</v>
      </c>
      <c r="K1800" s="7">
        <v>1.3839</v>
      </c>
      <c r="L1800" s="3">
        <v>43.29</v>
      </c>
      <c r="M1800" s="3">
        <v>20.78</v>
      </c>
    </row>
    <row r="1801" spans="1:13">
      <c r="A1801" s="8" t="s">
        <v>1812</v>
      </c>
      <c r="B1801" s="2">
        <f>HYPERLINK("https://www.suredividend.com/sure-analysis-research-database/","Uniti Group Inc.")</f>
        <v>0</v>
      </c>
      <c r="C1801" s="1" t="s">
        <v>1961</v>
      </c>
      <c r="D1801" s="3">
        <v>7.7</v>
      </c>
      <c r="F1801" s="4">
        <v>0</v>
      </c>
      <c r="G1801" s="3">
        <v>0</v>
      </c>
      <c r="H1801" s="5">
        <v>1907.985094</v>
      </c>
      <c r="I1801" s="6">
        <v>56.0941</v>
      </c>
      <c r="J1801" s="4">
        <v>0.002805</v>
      </c>
      <c r="L1801" s="3">
        <v>8.4</v>
      </c>
      <c r="M1801" s="3">
        <v>5.3</v>
      </c>
    </row>
    <row r="1802" spans="1:13">
      <c r="A1802" s="8" t="s">
        <v>1813</v>
      </c>
      <c r="B1802" s="2">
        <f>HYPERLINK("https://www.suredividend.com/sure-analysis-UNTY/","UNITY BANCORP INC /NJ/")</f>
        <v>0</v>
      </c>
      <c r="C1802" s="1" t="s">
        <v>1962</v>
      </c>
      <c r="D1802" s="3">
        <v>54.51</v>
      </c>
      <c r="E1802" s="4">
        <v>0.01100715465052284</v>
      </c>
      <c r="F1802" s="4">
        <v>0.00966</v>
      </c>
      <c r="G1802" s="3">
        <v>0.71</v>
      </c>
      <c r="H1802" s="5">
        <v>547.1496979999999</v>
      </c>
      <c r="I1802" s="6">
        <v>10.1354</v>
      </c>
      <c r="J1802" s="4">
        <v>0.100345</v>
      </c>
      <c r="K1802" s="7">
        <v>0.9176</v>
      </c>
      <c r="L1802" s="3">
        <v>57.24</v>
      </c>
      <c r="M1802" s="3">
        <v>36.32</v>
      </c>
    </row>
    <row r="1803" spans="1:13">
      <c r="A1803" s="8" t="s">
        <v>1814</v>
      </c>
      <c r="B1803" s="2">
        <f>HYPERLINK("https://www.suredividend.com/sure-analysis-research-database/","Wheels Up Experience Inc.")</f>
        <v>0</v>
      </c>
      <c r="C1803" s="1" t="s">
        <v>1959</v>
      </c>
      <c r="D1803" s="3">
        <v>0.8741</v>
      </c>
      <c r="F1803" s="4">
        <v>0</v>
      </c>
      <c r="G1803" s="3">
        <v>0</v>
      </c>
      <c r="H1803" s="5">
        <v>624.56598</v>
      </c>
      <c r="J1803" s="4">
        <v>0</v>
      </c>
      <c r="K1803" s="7">
        <v>2.182</v>
      </c>
      <c r="L1803" s="3">
        <v>3.5</v>
      </c>
      <c r="M1803" s="3">
        <v>0.5600000000000001</v>
      </c>
    </row>
    <row r="1804" spans="1:13">
      <c r="A1804" s="8" t="s">
        <v>1815</v>
      </c>
      <c r="B1804" s="2">
        <f>HYPERLINK("https://www.suredividend.com/sure-analysis-research-database/","Upstream Bio, Inc.")</f>
        <v>0</v>
      </c>
      <c r="C1804" s="1" t="s">
        <v>1959</v>
      </c>
      <c r="D1804" s="3">
        <v>31.36</v>
      </c>
      <c r="F1804" s="4">
        <v>0</v>
      </c>
      <c r="G1804" s="3">
        <v>0</v>
      </c>
      <c r="H1804" s="5">
        <v>1703.678584</v>
      </c>
      <c r="J1804" s="4">
        <v>0</v>
      </c>
      <c r="K1804" s="7">
        <v>0.7601</v>
      </c>
      <c r="L1804" s="3">
        <v>33.68</v>
      </c>
      <c r="M1804" s="3">
        <v>5.14</v>
      </c>
    </row>
    <row r="1805" spans="1:13">
      <c r="A1805" s="8" t="s">
        <v>1816</v>
      </c>
      <c r="B1805" s="2">
        <f>HYPERLINK("https://www.suredividend.com/sure-analysis-research-database/","UPBOUND GROUP, INC.")</f>
        <v>0</v>
      </c>
      <c r="C1805" s="1" t="s">
        <v>1959</v>
      </c>
      <c r="D1805" s="3">
        <v>19.5</v>
      </c>
      <c r="E1805" s="4">
        <v>0.08</v>
      </c>
      <c r="F1805" s="4">
        <v>0.04759</v>
      </c>
      <c r="G1805" s="3">
        <v>1.56</v>
      </c>
      <c r="H1805" s="5">
        <v>1082.816588</v>
      </c>
      <c r="I1805" s="6">
        <v>12.8173</v>
      </c>
      <c r="J1805" s="4">
        <v>1.017661</v>
      </c>
      <c r="K1805" s="7">
        <v>1.3229</v>
      </c>
      <c r="L1805" s="3">
        <v>28.55</v>
      </c>
      <c r="M1805" s="3">
        <v>15.48</v>
      </c>
    </row>
    <row r="1806" spans="1:13">
      <c r="A1806" s="8" t="s">
        <v>1817</v>
      </c>
      <c r="B1806" s="2">
        <f>HYPERLINK("https://www.suredividend.com/sure-analysis-research-database/","Upstart Holdings, Inc.")</f>
        <v>0</v>
      </c>
      <c r="C1806" s="1" t="s">
        <v>1959</v>
      </c>
      <c r="D1806" s="3">
        <v>46.66</v>
      </c>
      <c r="F1806" s="4">
        <v>0</v>
      </c>
      <c r="G1806" s="3">
        <v>0</v>
      </c>
      <c r="H1806" s="5">
        <v>4434.675729</v>
      </c>
      <c r="J1806" s="4">
        <v>0</v>
      </c>
      <c r="K1806" s="7">
        <v>3.6936</v>
      </c>
      <c r="L1806" s="3">
        <v>96.43000000000001</v>
      </c>
      <c r="M1806" s="3">
        <v>31.4</v>
      </c>
    </row>
    <row r="1807" spans="1:13">
      <c r="A1807" s="8" t="s">
        <v>1818</v>
      </c>
      <c r="B1807" s="2">
        <f>HYPERLINK("https://www.suredividend.com/sure-analysis-research-database/","UPWORK, INC")</f>
        <v>0</v>
      </c>
      <c r="C1807" s="1" t="s">
        <v>1964</v>
      </c>
      <c r="D1807" s="3">
        <v>19.88</v>
      </c>
      <c r="F1807" s="4">
        <v>0</v>
      </c>
      <c r="G1807" s="3">
        <v>0</v>
      </c>
      <c r="H1807" s="5">
        <v>2572.594646</v>
      </c>
      <c r="I1807" s="6">
        <v>10.4172</v>
      </c>
      <c r="J1807" s="4">
        <v>0</v>
      </c>
      <c r="K1807" s="7">
        <v>1.4739</v>
      </c>
      <c r="L1807" s="3">
        <v>22.32</v>
      </c>
      <c r="M1807" s="3">
        <v>11.13</v>
      </c>
    </row>
    <row r="1808" spans="1:13">
      <c r="A1808" s="8" t="s">
        <v>1819</v>
      </c>
      <c r="B1808" s="2">
        <f>HYPERLINK("https://www.suredividend.com/sure-analysis-research-database/","URBAN OUTFITTERS INC")</f>
        <v>0</v>
      </c>
      <c r="C1808" s="1" t="s">
        <v>1963</v>
      </c>
      <c r="D1808" s="3">
        <v>72.05</v>
      </c>
      <c r="F1808" s="4">
        <v>0</v>
      </c>
      <c r="G1808" s="3">
        <v>0</v>
      </c>
      <c r="H1808" s="5">
        <v>6444.328557</v>
      </c>
      <c r="I1808" s="6">
        <v>13.5549</v>
      </c>
      <c r="J1808" s="4">
        <v>0</v>
      </c>
      <c r="K1808" s="7">
        <v>0.9832</v>
      </c>
      <c r="L1808" s="3">
        <v>84.34999999999999</v>
      </c>
      <c r="M1808" s="3">
        <v>41.89</v>
      </c>
    </row>
    <row r="1809" spans="1:13">
      <c r="A1809" s="8" t="s">
        <v>1820</v>
      </c>
      <c r="B1809" s="2">
        <f>HYPERLINK("https://www.suredividend.com/sure-analysis-research-database/","UR-ENERGY INC")</f>
        <v>0</v>
      </c>
      <c r="C1809" s="1" t="s">
        <v>1969</v>
      </c>
      <c r="D1809" s="3">
        <v>1.97</v>
      </c>
      <c r="F1809" s="4">
        <v>0</v>
      </c>
      <c r="G1809" s="3">
        <v>0</v>
      </c>
      <c r="H1809" s="5">
        <v>726.092298</v>
      </c>
      <c r="J1809" s="4">
        <v>0</v>
      </c>
      <c r="K1809" s="7">
        <v>1.2893</v>
      </c>
      <c r="L1809" s="3">
        <v>2.35</v>
      </c>
      <c r="M1809" s="3">
        <v>0.55</v>
      </c>
    </row>
    <row r="1810" spans="1:13">
      <c r="A1810" s="8" t="s">
        <v>1821</v>
      </c>
      <c r="B1810" s="2">
        <f>HYPERLINK("https://www.suredividend.com/sure-analysis-research-database/","UroGen Pharma Ltd.")</f>
        <v>0</v>
      </c>
      <c r="C1810" s="1" t="s">
        <v>1965</v>
      </c>
      <c r="D1810" s="3">
        <v>19.25</v>
      </c>
      <c r="F1810" s="4">
        <v>0</v>
      </c>
      <c r="G1810" s="3">
        <v>0</v>
      </c>
      <c r="H1810" s="5">
        <v>900.134993</v>
      </c>
      <c r="J1810" s="4">
        <v>0</v>
      </c>
      <c r="K1810" s="7">
        <v>1.2377</v>
      </c>
      <c r="L1810" s="3">
        <v>30</v>
      </c>
      <c r="M1810" s="3">
        <v>3.42</v>
      </c>
    </row>
    <row r="1811" spans="1:13">
      <c r="A1811" s="8" t="s">
        <v>1822</v>
      </c>
      <c r="B1811" s="2">
        <f>HYPERLINK("https://www.suredividend.com/sure-analysis-research-database/","USCB FINANCIAL HOLDINGS, INC.")</f>
        <v>0</v>
      </c>
      <c r="C1811" s="1" t="s">
        <v>1959</v>
      </c>
      <c r="D1811" s="3">
        <v>20.38</v>
      </c>
      <c r="E1811" s="4">
        <v>0.02</v>
      </c>
      <c r="F1811" s="4">
        <v>0.0063</v>
      </c>
      <c r="G1811" s="3">
        <v>0.4</v>
      </c>
      <c r="H1811" s="5">
        <v>369.089646</v>
      </c>
      <c r="I1811" s="6">
        <v>11.6649</v>
      </c>
      <c r="J1811" s="4">
        <v>0.218324</v>
      </c>
      <c r="K1811" s="7">
        <v>0.7608</v>
      </c>
      <c r="L1811" s="3">
        <v>20.53</v>
      </c>
      <c r="M1811" s="3">
        <v>15.13</v>
      </c>
    </row>
    <row r="1812" spans="1:13">
      <c r="A1812" s="8" t="s">
        <v>1823</v>
      </c>
      <c r="B1812" s="2">
        <f>HYPERLINK("https://www.suredividend.com/sure-analysis-research-database/","ProShares Ultra Semiconductors")</f>
        <v>0</v>
      </c>
      <c r="D1812" s="3">
        <v>57.61</v>
      </c>
      <c r="F1812" s="4">
        <v>0.0009300000000000001</v>
      </c>
      <c r="G1812" s="3">
        <v>0.21</v>
      </c>
      <c r="K1812" s="7">
        <v>4.0017</v>
      </c>
      <c r="L1812" s="3">
        <v>64.79000000000001</v>
      </c>
      <c r="M1812" s="3">
        <v>12.51</v>
      </c>
    </row>
    <row r="1813" spans="1:13">
      <c r="A1813" s="8" t="s">
        <v>1824</v>
      </c>
      <c r="B1813" s="2">
        <f>HYPERLINK("https://www.suredividend.com/sure-analysis-research-database/","UNITED STATES LIME &amp; MINERALS INC")</f>
        <v>0</v>
      </c>
      <c r="C1813" s="1" t="s">
        <v>1970</v>
      </c>
      <c r="D1813" s="3">
        <v>126.95</v>
      </c>
      <c r="F1813" s="4">
        <v>0.00484</v>
      </c>
      <c r="G1813" s="3">
        <v>0.24</v>
      </c>
      <c r="H1813" s="5">
        <v>3635.485309</v>
      </c>
      <c r="I1813" s="6">
        <v>27.8121</v>
      </c>
      <c r="J1813" s="4">
        <v>0.050369</v>
      </c>
      <c r="K1813" s="7">
        <v>1.409</v>
      </c>
      <c r="L1813" s="3">
        <v>137.89</v>
      </c>
      <c r="M1813" s="3">
        <v>80.34</v>
      </c>
    </row>
    <row r="1814" spans="1:13">
      <c r="A1814" s="8" t="s">
        <v>1825</v>
      </c>
      <c r="B1814" s="2">
        <f>HYPERLINK("https://www.suredividend.com/sure-analysis-research-database/","Usana Health Sciences, Inc.")</f>
        <v>0</v>
      </c>
      <c r="C1814" s="1" t="s">
        <v>1966</v>
      </c>
      <c r="D1814" s="3">
        <v>22.25</v>
      </c>
      <c r="F1814" s="4">
        <v>0</v>
      </c>
      <c r="G1814" s="3">
        <v>0</v>
      </c>
      <c r="H1814" s="5">
        <v>406.56626</v>
      </c>
      <c r="K1814" s="7">
        <v>1.0013</v>
      </c>
      <c r="L1814" s="3">
        <v>38.32</v>
      </c>
      <c r="M1814" s="3">
        <v>18.48</v>
      </c>
    </row>
    <row r="1815" spans="1:13">
      <c r="A1815" s="8" t="s">
        <v>1826</v>
      </c>
      <c r="B1815" s="2">
        <f>HYPERLINK("https://www.suredividend.com/sure-analysis-USPH/","U S PHYSICAL THERAPY INC /NV")</f>
        <v>0</v>
      </c>
      <c r="C1815" s="1" t="s">
        <v>1965</v>
      </c>
      <c r="D1815" s="3">
        <v>86.08</v>
      </c>
      <c r="E1815" s="4">
        <v>0.02091078066914498</v>
      </c>
      <c r="F1815" s="4">
        <v>0.02063</v>
      </c>
      <c r="G1815" s="3">
        <v>1.8</v>
      </c>
      <c r="H1815" s="5">
        <v>1307.706275</v>
      </c>
      <c r="I1815" s="6">
        <v>29.2722</v>
      </c>
      <c r="J1815" s="4">
        <v>0.735177</v>
      </c>
      <c r="K1815" s="7">
        <v>1.0828</v>
      </c>
      <c r="L1815" s="3">
        <v>92.91</v>
      </c>
      <c r="M1815" s="3">
        <v>61.67</v>
      </c>
    </row>
    <row r="1816" spans="1:13">
      <c r="A1816" s="8" t="s">
        <v>1827</v>
      </c>
      <c r="B1816" s="2">
        <f>HYPERLINK("https://www.suredividend.com/sure-analysis-research-database/","UNIVERSAL TECHNICAL INSTITUTE INC")</f>
        <v>0</v>
      </c>
      <c r="C1816" s="1" t="s">
        <v>1966</v>
      </c>
      <c r="D1816" s="3">
        <v>27.65</v>
      </c>
      <c r="F1816" s="4">
        <v>0</v>
      </c>
      <c r="G1816" s="3">
        <v>0.16</v>
      </c>
      <c r="H1816" s="5">
        <v>1532.200812</v>
      </c>
      <c r="I1816" s="6">
        <v>24.3137</v>
      </c>
      <c r="J1816" s="4">
        <v>0</v>
      </c>
      <c r="K1816" s="7">
        <v>1.0177</v>
      </c>
      <c r="L1816" s="3">
        <v>36.32</v>
      </c>
      <c r="M1816" s="3">
        <v>21.29</v>
      </c>
    </row>
    <row r="1817" spans="1:13">
      <c r="A1817" s="8" t="s">
        <v>1828</v>
      </c>
      <c r="B1817" s="2">
        <f>HYPERLINK("https://www.suredividend.com/sure-analysis-UTL/","UNITIL CORP")</f>
        <v>0</v>
      </c>
      <c r="C1817" s="1" t="s">
        <v>1967</v>
      </c>
      <c r="D1817" s="3">
        <v>50.43</v>
      </c>
      <c r="E1817" s="4">
        <v>0.03569303985722784</v>
      </c>
      <c r="F1817" s="4">
        <v>0.03536</v>
      </c>
      <c r="G1817" s="3">
        <v>1.8</v>
      </c>
      <c r="H1817" s="5">
        <v>903.622159</v>
      </c>
      <c r="I1817" s="6">
        <v>19.3082</v>
      </c>
      <c r="J1817" s="4">
        <v>0.617521</v>
      </c>
      <c r="K1817" s="7">
        <v>0.2631</v>
      </c>
      <c r="L1817" s="3">
        <v>58.4</v>
      </c>
      <c r="M1817" s="3">
        <v>44.19</v>
      </c>
    </row>
    <row r="1818" spans="1:13">
      <c r="A1818" s="8" t="s">
        <v>1829</v>
      </c>
      <c r="B1818" s="2">
        <f>HYPERLINK("https://www.suredividend.com/sure-analysis-UTMD/","UTAH MEDICAL PRODUCTS INC")</f>
        <v>0</v>
      </c>
      <c r="C1818" s="1" t="s">
        <v>1965</v>
      </c>
      <c r="D1818" s="3">
        <v>62.73</v>
      </c>
      <c r="E1818" s="4">
        <v>0.01976725649609437</v>
      </c>
      <c r="F1818" s="4">
        <v>0.02668</v>
      </c>
      <c r="G1818" s="3">
        <v>1.22</v>
      </c>
      <c r="H1818" s="5">
        <v>201.223233</v>
      </c>
      <c r="I1818" s="6">
        <v>13.8631</v>
      </c>
      <c r="J1818" s="4">
        <v>0.327226</v>
      </c>
      <c r="K1818" s="7">
        <v>0.6214</v>
      </c>
      <c r="L1818" s="3">
        <v>64.19</v>
      </c>
      <c r="M1818" s="3">
        <v>50.45</v>
      </c>
    </row>
    <row r="1819" spans="1:13">
      <c r="A1819" s="8" t="s">
        <v>1830</v>
      </c>
      <c r="B1819" s="2">
        <f>HYPERLINK("https://www.suredividend.com/sure-analysis-research-database/","Utz Brands, Inc.")</f>
        <v>0</v>
      </c>
      <c r="C1819" s="1" t="s">
        <v>1959</v>
      </c>
      <c r="D1819" s="3">
        <v>10.37</v>
      </c>
      <c r="E1819" s="4">
        <v>0.02</v>
      </c>
      <c r="F1819" s="4">
        <v>0.02394</v>
      </c>
      <c r="G1819" s="3">
        <v>0.26</v>
      </c>
      <c r="H1819" s="5">
        <v>906.601259</v>
      </c>
      <c r="I1819" s="6">
        <v>160.0073</v>
      </c>
      <c r="K1819" s="7">
        <v>0.2833</v>
      </c>
      <c r="L1819" s="3">
        <v>14.51</v>
      </c>
      <c r="M1819" s="3">
        <v>9.140000000000001</v>
      </c>
    </row>
    <row r="1820" spans="1:13">
      <c r="A1820" s="8" t="s">
        <v>1831</v>
      </c>
      <c r="B1820" s="2">
        <f>HYPERLINK("https://www.suredividend.com/sure-analysis-research-database/","ENERGY FUELS INC")</f>
        <v>0</v>
      </c>
      <c r="C1820" s="1" t="s">
        <v>1969</v>
      </c>
      <c r="D1820" s="3">
        <v>22.2</v>
      </c>
      <c r="F1820" s="4">
        <v>0</v>
      </c>
      <c r="G1820" s="3">
        <v>0</v>
      </c>
      <c r="H1820" s="5">
        <v>5343.698015</v>
      </c>
      <c r="J1820" s="4">
        <v>0</v>
      </c>
      <c r="K1820" s="7">
        <v>1.3599</v>
      </c>
      <c r="L1820" s="3">
        <v>27.33</v>
      </c>
      <c r="M1820" s="3">
        <v>3.2</v>
      </c>
    </row>
    <row r="1821" spans="1:13">
      <c r="A1821" s="8" t="s">
        <v>1832</v>
      </c>
      <c r="B1821" s="2">
        <f>HYPERLINK("https://www.suredividend.com/sure-analysis-research-database/","UNIVERSAL INSURANCE HOLDINGS, INC.")</f>
        <v>0</v>
      </c>
      <c r="C1821" s="1" t="s">
        <v>1962</v>
      </c>
      <c r="D1821" s="3">
        <v>29.52</v>
      </c>
      <c r="E1821" s="4">
        <v>0.03</v>
      </c>
      <c r="F1821" s="4">
        <v>0.02294</v>
      </c>
      <c r="G1821" s="3">
        <v>0.77</v>
      </c>
      <c r="H1821" s="5">
        <v>828.283456</v>
      </c>
      <c r="I1821" s="6">
        <v>6.7681</v>
      </c>
      <c r="J1821" s="4">
        <v>0.182628</v>
      </c>
      <c r="K1821" s="7">
        <v>0.3951</v>
      </c>
      <c r="L1821" s="3">
        <v>35.52</v>
      </c>
      <c r="M1821" s="3">
        <v>18.36</v>
      </c>
    </row>
    <row r="1822" spans="1:13">
      <c r="A1822" s="8" t="s">
        <v>1833</v>
      </c>
      <c r="B1822" s="2">
        <f>HYPERLINK("https://www.suredividend.com/sure-analysis-research-database/","UNIVEST FINANCIAL Corp")</f>
        <v>0</v>
      </c>
      <c r="C1822" s="1" t="s">
        <v>1962</v>
      </c>
      <c r="D1822" s="3">
        <v>34.71</v>
      </c>
      <c r="E1822" s="4">
        <v>0.03</v>
      </c>
      <c r="F1822" s="4">
        <v>0.02546</v>
      </c>
      <c r="G1822" s="3">
        <v>0.87</v>
      </c>
      <c r="H1822" s="5">
        <v>989.24627</v>
      </c>
      <c r="I1822" s="6">
        <v>11.3768</v>
      </c>
      <c r="J1822" s="4">
        <v>0.290939</v>
      </c>
      <c r="K1822" s="7">
        <v>0.9643</v>
      </c>
      <c r="L1822" s="3">
        <v>35.65</v>
      </c>
      <c r="M1822" s="3">
        <v>22.32</v>
      </c>
    </row>
    <row r="1823" spans="1:13">
      <c r="A1823" s="8" t="s">
        <v>1834</v>
      </c>
      <c r="B1823" s="2">
        <f>HYPERLINK("https://www.suredividend.com/sure-analysis-UVV/","UNIVERSAL CORP /VA/")</f>
        <v>0</v>
      </c>
      <c r="C1823" s="1" t="s">
        <v>1966</v>
      </c>
      <c r="D1823" s="3">
        <v>55.08</v>
      </c>
      <c r="E1823" s="4">
        <v>0.05954974582425562</v>
      </c>
      <c r="F1823" s="4">
        <v>0.06016</v>
      </c>
      <c r="G1823" s="3">
        <v>3.27</v>
      </c>
      <c r="H1823" s="5">
        <v>1371.41116</v>
      </c>
      <c r="I1823" s="6">
        <v>12.2839</v>
      </c>
      <c r="J1823" s="4">
        <v>0.785253</v>
      </c>
      <c r="K1823" s="7">
        <v>0.3428</v>
      </c>
      <c r="L1823" s="3">
        <v>64.39</v>
      </c>
      <c r="M1823" s="3">
        <v>47.16</v>
      </c>
    </row>
    <row r="1824" spans="1:13">
      <c r="A1824" s="8" t="s">
        <v>1835</v>
      </c>
      <c r="B1824" s="2">
        <f>HYPERLINK("https://www.suredividend.com/sure-analysis-research-database/","Virginia National Bankshares Corp")</f>
        <v>0</v>
      </c>
      <c r="C1824" s="1" t="s">
        <v>1962</v>
      </c>
      <c r="D1824" s="3">
        <v>41.25</v>
      </c>
      <c r="E1824" s="4">
        <v>0.04</v>
      </c>
      <c r="F1824" s="4">
        <v>0.03124</v>
      </c>
      <c r="G1824" s="3">
        <v>1.74</v>
      </c>
      <c r="H1824" s="5">
        <v>222.466984</v>
      </c>
      <c r="I1824" s="6">
        <v>12.4534</v>
      </c>
      <c r="J1824" s="4">
        <v>0.416088</v>
      </c>
      <c r="K1824" s="7">
        <v>0.6237</v>
      </c>
      <c r="L1824" s="3">
        <v>44.17</v>
      </c>
      <c r="M1824" s="3">
        <v>33.2</v>
      </c>
    </row>
    <row r="1825" spans="1:13">
      <c r="A1825" s="8" t="s">
        <v>1836</v>
      </c>
      <c r="B1825" s="2">
        <f>HYPERLINK("https://www.suredividend.com/sure-analysis-research-database/","Valaris Ltd")</f>
        <v>0</v>
      </c>
      <c r="C1825" s="1" t="s">
        <v>1969</v>
      </c>
      <c r="D1825" s="3">
        <v>54.95</v>
      </c>
      <c r="F1825" s="4">
        <v>0</v>
      </c>
      <c r="G1825" s="3">
        <v>0</v>
      </c>
      <c r="H1825" s="5">
        <v>3819.096789</v>
      </c>
      <c r="I1825" s="6">
        <v>9.5717</v>
      </c>
      <c r="J1825" s="4">
        <v>0</v>
      </c>
      <c r="K1825" s="7">
        <v>1.2547</v>
      </c>
      <c r="L1825" s="3">
        <v>61.7</v>
      </c>
      <c r="M1825" s="3">
        <v>27.15</v>
      </c>
    </row>
    <row r="1826" spans="1:13">
      <c r="A1826" s="8" t="s">
        <v>1837</v>
      </c>
      <c r="B1826" s="2">
        <f>HYPERLINK("https://www.suredividend.com/sure-analysis-VALU/","VALUE LINE INC")</f>
        <v>0</v>
      </c>
      <c r="C1826" s="1" t="s">
        <v>1962</v>
      </c>
      <c r="D1826" s="3">
        <v>37.11</v>
      </c>
      <c r="E1826" s="4">
        <v>0.03503098895176503</v>
      </c>
      <c r="F1826" s="4">
        <v>0.02938</v>
      </c>
      <c r="G1826" s="3">
        <v>1.27</v>
      </c>
      <c r="H1826" s="5">
        <v>349.772769</v>
      </c>
      <c r="I1826" s="6">
        <v>16.4552</v>
      </c>
      <c r="J1826" s="4">
        <v>0.553632</v>
      </c>
      <c r="K1826" s="7">
        <v>0.2353</v>
      </c>
      <c r="L1826" s="3">
        <v>44.68</v>
      </c>
      <c r="M1826" s="3">
        <v>32.13</v>
      </c>
    </row>
    <row r="1827" spans="1:13">
      <c r="A1827" s="8" t="s">
        <v>1838</v>
      </c>
      <c r="B1827" s="2">
        <f>HYPERLINK("https://www.suredividend.com/sure-analysis-research-database/","Veritex Holdings, Inc.")</f>
        <v>0</v>
      </c>
      <c r="C1827" s="1" t="s">
        <v>1962</v>
      </c>
      <c r="D1827" s="3">
        <v>30.14</v>
      </c>
      <c r="E1827" s="4">
        <v>0.04</v>
      </c>
      <c r="F1827" s="4">
        <v>0.02776</v>
      </c>
      <c r="G1827" s="3">
        <v>1.06</v>
      </c>
      <c r="H1827" s="5">
        <v>1656.597952</v>
      </c>
      <c r="I1827" s="6">
        <v>14.2984</v>
      </c>
      <c r="J1827" s="4">
        <v>0.385339</v>
      </c>
      <c r="K1827" s="7">
        <v>1.2434</v>
      </c>
    </row>
    <row r="1828" spans="1:13">
      <c r="A1828" s="8" t="s">
        <v>1839</v>
      </c>
      <c r="B1828" s="2">
        <f>HYPERLINK("https://www.suredividend.com/sure-analysis-research-database/","VISTEON CORP")</f>
        <v>0</v>
      </c>
      <c r="C1828" s="1" t="s">
        <v>1963</v>
      </c>
      <c r="D1828" s="3">
        <v>95.76000000000001</v>
      </c>
      <c r="E1828" s="4">
        <v>0.01</v>
      </c>
      <c r="F1828" s="4">
        <v>0.00106</v>
      </c>
      <c r="G1828" s="3">
        <v>0.55</v>
      </c>
      <c r="H1828" s="5">
        <v>2611.535595</v>
      </c>
      <c r="I1828" s="6">
        <v>8.451599999999999</v>
      </c>
      <c r="J1828" s="4">
        <v>0.125</v>
      </c>
      <c r="K1828" s="7">
        <v>0.6535</v>
      </c>
      <c r="L1828" s="3">
        <v>128.75</v>
      </c>
      <c r="M1828" s="3">
        <v>64.77</v>
      </c>
    </row>
    <row r="1829" spans="1:13">
      <c r="A1829" s="8" t="s">
        <v>1840</v>
      </c>
      <c r="B1829" s="2">
        <f>HYPERLINK("https://www.suredividend.com/sure-analysis-research-database/","Vericel Corp")</f>
        <v>0</v>
      </c>
      <c r="C1829" s="1" t="s">
        <v>1965</v>
      </c>
      <c r="D1829" s="3">
        <v>37.9</v>
      </c>
      <c r="F1829" s="4">
        <v>0</v>
      </c>
      <c r="G1829" s="3">
        <v>0</v>
      </c>
      <c r="H1829" s="5">
        <v>1907.652261</v>
      </c>
      <c r="I1829" s="6">
        <v>145.8227</v>
      </c>
      <c r="J1829" s="4">
        <v>0</v>
      </c>
      <c r="K1829" s="7">
        <v>1.0342</v>
      </c>
      <c r="L1829" s="3">
        <v>63</v>
      </c>
      <c r="M1829" s="3">
        <v>29.24</v>
      </c>
    </row>
    <row r="1830" spans="1:13">
      <c r="A1830" s="8" t="s">
        <v>1841</v>
      </c>
      <c r="B1830" s="2">
        <f>HYPERLINK("https://www.suredividend.com/sure-analysis-research-database/","Vacasa, Inc.")</f>
        <v>0</v>
      </c>
      <c r="C1830" s="1" t="s">
        <v>1959</v>
      </c>
      <c r="D1830" s="3">
        <v>0</v>
      </c>
      <c r="F1830" s="4">
        <v>0</v>
      </c>
      <c r="G1830" s="3">
        <v>0</v>
      </c>
      <c r="H1830" s="5">
        <v>123.260277</v>
      </c>
      <c r="J1830" s="4">
        <v>0</v>
      </c>
      <c r="K1830" s="7">
        <v>1.5155</v>
      </c>
    </row>
    <row r="1831" spans="1:13">
      <c r="A1831" s="8" t="s">
        <v>1842</v>
      </c>
      <c r="B1831" s="2">
        <f>HYPERLINK("https://www.suredividend.com/sure-analysis-VCTR/","Victory Capital Holdings, Inc.")</f>
        <v>0</v>
      </c>
      <c r="C1831" s="1" t="s">
        <v>1962</v>
      </c>
      <c r="D1831" s="3">
        <v>69.44</v>
      </c>
      <c r="E1831" s="4">
        <v>0.0282258064516129</v>
      </c>
      <c r="F1831" s="4">
        <v>0.01882</v>
      </c>
      <c r="G1831" s="3">
        <v>1.94</v>
      </c>
      <c r="H1831" s="5">
        <v>4508.468918</v>
      </c>
      <c r="I1831" s="6">
        <v>17.3866</v>
      </c>
      <c r="J1831" s="4">
        <v>0.4889</v>
      </c>
      <c r="K1831" s="7">
        <v>1.0635</v>
      </c>
      <c r="L1831" s="3">
        <v>71.93000000000001</v>
      </c>
      <c r="M1831" s="3">
        <v>45.96</v>
      </c>
    </row>
    <row r="1832" spans="1:13">
      <c r="A1832" s="8" t="s">
        <v>1843</v>
      </c>
      <c r="B1832" s="2">
        <f>HYPERLINK("https://www.suredividend.com/sure-analysis-research-database/","VERACYTE, INC.")</f>
        <v>0</v>
      </c>
      <c r="C1832" s="1" t="s">
        <v>1965</v>
      </c>
      <c r="D1832" s="3">
        <v>43.34</v>
      </c>
      <c r="F1832" s="4">
        <v>0</v>
      </c>
      <c r="G1832" s="3">
        <v>0</v>
      </c>
      <c r="H1832" s="5">
        <v>3422.829191</v>
      </c>
      <c r="I1832" s="6">
        <v>112.9013</v>
      </c>
      <c r="J1832" s="4">
        <v>0</v>
      </c>
      <c r="K1832" s="7">
        <v>1.4697</v>
      </c>
      <c r="L1832" s="3">
        <v>50.71</v>
      </c>
      <c r="M1832" s="3">
        <v>22.61</v>
      </c>
    </row>
    <row r="1833" spans="1:13">
      <c r="A1833" s="8" t="s">
        <v>1844</v>
      </c>
      <c r="B1833" s="2">
        <f>HYPERLINK("https://www.suredividend.com/sure-analysis-research-database/","VEECO INSTRUMENTS INC")</f>
        <v>0</v>
      </c>
      <c r="C1833" s="1" t="s">
        <v>1960</v>
      </c>
      <c r="D1833" s="3">
        <v>33.33</v>
      </c>
      <c r="F1833" s="4">
        <v>0</v>
      </c>
      <c r="G1833" s="3">
        <v>0</v>
      </c>
      <c r="H1833" s="5">
        <v>1984.761205</v>
      </c>
      <c r="I1833" s="6">
        <v>40.3071</v>
      </c>
      <c r="J1833" s="4">
        <v>0</v>
      </c>
      <c r="K1833" s="7">
        <v>1.5803</v>
      </c>
      <c r="L1833" s="3">
        <v>35.77</v>
      </c>
      <c r="M1833" s="3">
        <v>16.92</v>
      </c>
    </row>
    <row r="1834" spans="1:13">
      <c r="A1834" s="8" t="s">
        <v>1845</v>
      </c>
      <c r="B1834" s="2">
        <f>HYPERLINK("https://www.suredividend.com/sure-analysis-research-database/","Velocity Financial, Inc.")</f>
        <v>0</v>
      </c>
      <c r="C1834" s="1" t="s">
        <v>1962</v>
      </c>
      <c r="D1834" s="3">
        <v>19.5</v>
      </c>
      <c r="F1834" s="4">
        <v>0</v>
      </c>
      <c r="G1834" s="3">
        <v>0</v>
      </c>
      <c r="H1834" s="5">
        <v>759.717586</v>
      </c>
      <c r="I1834" s="6">
        <v>8.3629</v>
      </c>
      <c r="J1834" s="4">
        <v>0</v>
      </c>
      <c r="K1834" s="7">
        <v>0.4574</v>
      </c>
      <c r="L1834" s="3">
        <v>21.4</v>
      </c>
      <c r="M1834" s="3">
        <v>16.12</v>
      </c>
    </row>
    <row r="1835" spans="1:13">
      <c r="A1835" s="8" t="s">
        <v>1846</v>
      </c>
      <c r="B1835" s="2">
        <f>HYPERLINK("https://www.suredividend.com/sure-analysis-research-database/","Vera Therapeutics, Inc.")</f>
        <v>0</v>
      </c>
      <c r="C1835" s="1" t="s">
        <v>1959</v>
      </c>
      <c r="D1835" s="3">
        <v>45.77</v>
      </c>
      <c r="F1835" s="4">
        <v>0</v>
      </c>
      <c r="G1835" s="3">
        <v>0</v>
      </c>
      <c r="H1835" s="5">
        <v>2925.987581</v>
      </c>
      <c r="J1835" s="4">
        <v>0</v>
      </c>
      <c r="K1835" s="7">
        <v>1.6343</v>
      </c>
      <c r="L1835" s="3">
        <v>56.05</v>
      </c>
      <c r="M1835" s="3">
        <v>18.53</v>
      </c>
    </row>
    <row r="1836" spans="1:13">
      <c r="A1836" s="8" t="s">
        <v>1847</v>
      </c>
      <c r="B1836" s="2">
        <f>HYPERLINK("https://www.suredividend.com/sure-analysis-research-database/","VERU INC.")</f>
        <v>0</v>
      </c>
      <c r="C1836" s="1" t="s">
        <v>1965</v>
      </c>
      <c r="D1836" s="3">
        <v>2.55</v>
      </c>
      <c r="F1836" s="4">
        <v>0</v>
      </c>
      <c r="G1836" s="3">
        <v>2.8</v>
      </c>
      <c r="H1836" s="5">
        <v>41.570329</v>
      </c>
      <c r="J1836" s="4">
        <v>0</v>
      </c>
      <c r="K1836" s="7">
        <v>0.2385</v>
      </c>
      <c r="L1836" s="3">
        <v>14.2</v>
      </c>
      <c r="M1836" s="3">
        <v>2.1</v>
      </c>
    </row>
    <row r="1837" spans="1:13">
      <c r="A1837" s="8" t="s">
        <v>1848</v>
      </c>
      <c r="B1837" s="2">
        <f>HYPERLINK("https://www.suredividend.com/sure-analysis-research-database/","Verve Therapeutics, Inc.")</f>
        <v>0</v>
      </c>
      <c r="C1837" s="1" t="s">
        <v>1959</v>
      </c>
      <c r="D1837" s="3">
        <v>11.2</v>
      </c>
      <c r="F1837" s="4">
        <v>0</v>
      </c>
      <c r="G1837" s="3">
        <v>0</v>
      </c>
      <c r="H1837" s="5">
        <v>992.164228</v>
      </c>
      <c r="J1837" s="4">
        <v>0</v>
      </c>
      <c r="K1837" s="7">
        <v>2.4013</v>
      </c>
    </row>
    <row r="1838" spans="1:13">
      <c r="A1838" s="8" t="s">
        <v>1849</v>
      </c>
      <c r="B1838" s="2">
        <f>HYPERLINK("https://www.suredividend.com/sure-analysis-research-database/","Vertex, Inc.")</f>
        <v>0</v>
      </c>
      <c r="C1838" s="1" t="s">
        <v>1959</v>
      </c>
      <c r="D1838" s="3">
        <v>18.665</v>
      </c>
      <c r="F1838" s="4">
        <v>0</v>
      </c>
      <c r="G1838" s="3">
        <v>0</v>
      </c>
      <c r="H1838" s="5">
        <v>2976.791808</v>
      </c>
      <c r="J1838" s="4">
        <v>0</v>
      </c>
      <c r="K1838" s="7">
        <v>0.8100000000000001</v>
      </c>
      <c r="L1838" s="3">
        <v>60.71</v>
      </c>
      <c r="M1838" s="3">
        <v>18.54</v>
      </c>
    </row>
    <row r="1839" spans="1:13">
      <c r="A1839" s="8" t="s">
        <v>1850</v>
      </c>
      <c r="B1839" s="2">
        <f>HYPERLINK("https://www.suredividend.com/sure-analysis-research-database/","Verde Clean Fuels, Inc.")</f>
        <v>0</v>
      </c>
      <c r="C1839" s="1" t="s">
        <v>1959</v>
      </c>
      <c r="D1839" s="3">
        <v>2.55</v>
      </c>
      <c r="F1839" s="4">
        <v>0</v>
      </c>
      <c r="G1839" s="3">
        <v>0</v>
      </c>
      <c r="H1839" s="5">
        <v>48.031999</v>
      </c>
      <c r="J1839" s="4">
        <v>0</v>
      </c>
      <c r="K1839" s="7">
        <v>0.326</v>
      </c>
      <c r="L1839" s="3">
        <v>4.25</v>
      </c>
      <c r="M1839" s="3">
        <v>1.86</v>
      </c>
    </row>
    <row r="1840" spans="1:13">
      <c r="A1840" s="8" t="s">
        <v>1851</v>
      </c>
      <c r="B1840" s="2">
        <f>HYPERLINK("https://www.suredividend.com/sure-analysis-research-database/","VALHI INC /DE/")</f>
        <v>0</v>
      </c>
      <c r="C1840" s="1" t="s">
        <v>1970</v>
      </c>
      <c r="D1840" s="3">
        <v>14.59</v>
      </c>
      <c r="E1840" s="4">
        <v>0.03</v>
      </c>
      <c r="F1840" s="4">
        <v>0.0257</v>
      </c>
      <c r="G1840" s="3">
        <v>0.4</v>
      </c>
      <c r="H1840" s="5">
        <v>409.251157</v>
      </c>
      <c r="I1840" s="6">
        <v>22.2419</v>
      </c>
      <c r="J1840" s="4">
        <v>0.676471</v>
      </c>
      <c r="K1840" s="7">
        <v>1.2493</v>
      </c>
      <c r="L1840" s="3">
        <v>24.71</v>
      </c>
      <c r="M1840" s="3">
        <v>11.44</v>
      </c>
    </row>
    <row r="1841" spans="1:13">
      <c r="A1841" s="8" t="s">
        <v>1852</v>
      </c>
      <c r="B1841" s="2">
        <f>HYPERLINK("https://www.suredividend.com/sure-analysis-research-database/","VIAVI SOLUTIONS INC.")</f>
        <v>0</v>
      </c>
      <c r="C1841" s="1" t="s">
        <v>1960</v>
      </c>
      <c r="D1841" s="3">
        <v>19.45</v>
      </c>
      <c r="F1841" s="4">
        <v>0</v>
      </c>
      <c r="G1841" s="3">
        <v>4.4</v>
      </c>
      <c r="H1841" s="5">
        <v>4267.562146</v>
      </c>
      <c r="I1841" s="6">
        <v>280.7607</v>
      </c>
      <c r="J1841" s="4">
        <v>0</v>
      </c>
      <c r="K1841" s="7">
        <v>1.2479</v>
      </c>
      <c r="L1841" s="3">
        <v>19.76</v>
      </c>
      <c r="M1841" s="3">
        <v>8.1</v>
      </c>
    </row>
    <row r="1842" spans="1:13">
      <c r="A1842" s="8" t="s">
        <v>1853</v>
      </c>
      <c r="B1842" s="2">
        <f>HYPERLINK("https://www.suredividend.com/sure-analysis-research-database/","VICOR CORP")</f>
        <v>0</v>
      </c>
      <c r="C1842" s="1" t="s">
        <v>1960</v>
      </c>
      <c r="D1842" s="3">
        <v>164</v>
      </c>
      <c r="F1842" s="4">
        <v>0</v>
      </c>
      <c r="G1842" s="3">
        <v>0.15</v>
      </c>
      <c r="H1842" s="5">
        <v>7237.298595</v>
      </c>
      <c r="I1842" s="6">
        <v>87.9712</v>
      </c>
      <c r="J1842" s="4">
        <v>0</v>
      </c>
      <c r="K1842" s="7">
        <v>2.0545</v>
      </c>
      <c r="L1842" s="3">
        <v>162.08</v>
      </c>
      <c r="M1842" s="3">
        <v>38.93</v>
      </c>
    </row>
    <row r="1843" spans="1:13">
      <c r="A1843" s="8" t="s">
        <v>1854</v>
      </c>
      <c r="B1843" s="2">
        <f>HYPERLINK("https://www.suredividend.com/sure-analysis-research-database/","Vir Biotechnology, Inc.")</f>
        <v>0</v>
      </c>
      <c r="C1843" s="1" t="s">
        <v>1965</v>
      </c>
      <c r="D1843" s="3">
        <v>7</v>
      </c>
      <c r="F1843" s="4">
        <v>0</v>
      </c>
      <c r="G1843" s="3">
        <v>0</v>
      </c>
      <c r="H1843" s="5">
        <v>965.527722</v>
      </c>
      <c r="J1843" s="4">
        <v>0</v>
      </c>
      <c r="K1843" s="7">
        <v>0.8991</v>
      </c>
      <c r="L1843" s="3">
        <v>11.39</v>
      </c>
      <c r="M1843" s="3">
        <v>4.16</v>
      </c>
    </row>
    <row r="1844" spans="1:13">
      <c r="A1844" s="8" t="s">
        <v>1855</v>
      </c>
      <c r="B1844" s="2">
        <f>HYPERLINK("https://www.suredividend.com/sure-analysis-research-database/","VIRCO MFG CORPORATION")</f>
        <v>0</v>
      </c>
      <c r="C1844" s="1" t="s">
        <v>1963</v>
      </c>
      <c r="D1844" s="3">
        <v>6.49</v>
      </c>
      <c r="E1844" s="4">
        <v>0.02</v>
      </c>
      <c r="F1844" s="4">
        <v>0.00647</v>
      </c>
      <c r="G1844" s="3">
        <v>0.1</v>
      </c>
      <c r="H1844" s="5">
        <v>102.605028</v>
      </c>
      <c r="I1844" s="6">
        <v>26.561</v>
      </c>
      <c r="J1844" s="4">
        <v>0.410044</v>
      </c>
      <c r="K1844" s="7">
        <v>1.2936</v>
      </c>
      <c r="L1844" s="3">
        <v>11.94</v>
      </c>
      <c r="M1844" s="3">
        <v>5.99</v>
      </c>
    </row>
    <row r="1845" spans="1:13">
      <c r="A1845" s="8" t="s">
        <v>1856</v>
      </c>
      <c r="B1845" s="2">
        <f>HYPERLINK("https://www.suredividend.com/sure-analysis-research-database/","Vital Farms, Inc.")</f>
        <v>0</v>
      </c>
      <c r="C1845" s="1" t="s">
        <v>1959</v>
      </c>
      <c r="D1845" s="3">
        <v>27.54</v>
      </c>
      <c r="F1845" s="4">
        <v>0</v>
      </c>
      <c r="G1845" s="3">
        <v>0</v>
      </c>
      <c r="H1845" s="5">
        <v>1222.344396</v>
      </c>
      <c r="I1845" s="6">
        <v>20.1914</v>
      </c>
      <c r="J1845" s="4">
        <v>0</v>
      </c>
      <c r="K1845" s="7">
        <v>0.3407</v>
      </c>
      <c r="L1845" s="3">
        <v>53.13</v>
      </c>
      <c r="M1845" s="3">
        <v>26.65</v>
      </c>
    </row>
    <row r="1846" spans="1:13">
      <c r="A1846" s="8" t="s">
        <v>1857</v>
      </c>
      <c r="B1846" s="2">
        <f>HYPERLINK("https://www.suredividend.com/sure-analysis-research-database/","VILLAGE SUPER MARKET INC")</f>
        <v>0</v>
      </c>
      <c r="C1846" s="1" t="s">
        <v>1966</v>
      </c>
      <c r="D1846" s="3">
        <v>35.62</v>
      </c>
      <c r="E1846" s="4">
        <v>0.03</v>
      </c>
      <c r="F1846" s="4">
        <v>0.03067</v>
      </c>
      <c r="G1846" s="3">
        <v>1</v>
      </c>
      <c r="H1846" s="5">
        <v>525.223532</v>
      </c>
      <c r="I1846" s="6">
        <v>9.449999999999999</v>
      </c>
      <c r="J1846" s="4">
        <v>0.239479</v>
      </c>
      <c r="K1846" s="7">
        <v>0.3214</v>
      </c>
      <c r="L1846" s="3">
        <v>39.46</v>
      </c>
      <c r="M1846" s="3">
        <v>29.77</v>
      </c>
    </row>
    <row r="1847" spans="1:13">
      <c r="A1847" s="8" t="s">
        <v>1858</v>
      </c>
      <c r="B1847" s="2">
        <f>HYPERLINK("https://www.suredividend.com/sure-analysis-research-database/","VALLEY NATIONAL BANCORP")</f>
        <v>0</v>
      </c>
      <c r="C1847" s="1" t="s">
        <v>1962</v>
      </c>
      <c r="D1847" s="3">
        <v>12.37</v>
      </c>
      <c r="E1847" s="4">
        <v>0.04</v>
      </c>
      <c r="F1847" s="4">
        <v>0.03642</v>
      </c>
      <c r="G1847" s="3">
        <v>0.44</v>
      </c>
      <c r="H1847" s="5">
        <v>6897.951852</v>
      </c>
      <c r="I1847" s="6">
        <v>14.0855</v>
      </c>
      <c r="J1847" s="4">
        <v>0.524306</v>
      </c>
      <c r="K1847" s="7">
        <v>1.1796</v>
      </c>
      <c r="L1847" s="3">
        <v>12.45</v>
      </c>
      <c r="M1847" s="3">
        <v>7.25</v>
      </c>
    </row>
    <row r="1848" spans="1:13">
      <c r="A1848" s="8" t="s">
        <v>1859</v>
      </c>
      <c r="B1848" s="2">
        <f>HYPERLINK("https://www.suredividend.com/sure-analysis-research-database/","VIEMED HEALTHCARE, INC.")</f>
        <v>0</v>
      </c>
      <c r="C1848" s="1" t="s">
        <v>1965</v>
      </c>
      <c r="D1848" s="3">
        <v>7.6</v>
      </c>
      <c r="F1848" s="4">
        <v>0</v>
      </c>
      <c r="G1848" s="3">
        <v>0</v>
      </c>
      <c r="H1848" s="5">
        <v>284.754123</v>
      </c>
      <c r="I1848" s="6">
        <v>20.9209</v>
      </c>
      <c r="J1848" s="4">
        <v>0.023026</v>
      </c>
      <c r="K1848" s="7">
        <v>0.7617</v>
      </c>
      <c r="L1848" s="3">
        <v>8.619999999999999</v>
      </c>
      <c r="M1848" s="3">
        <v>5.93</v>
      </c>
    </row>
    <row r="1849" spans="1:13">
      <c r="A1849" s="8" t="s">
        <v>1860</v>
      </c>
      <c r="B1849" s="2">
        <f>HYPERLINK("https://www.suredividend.com/sure-analysis-research-database/","Vimeo, Inc.")</f>
        <v>0</v>
      </c>
      <c r="C1849" s="1" t="s">
        <v>1959</v>
      </c>
      <c r="D1849" s="3">
        <v>7.85</v>
      </c>
      <c r="F1849" s="4">
        <v>0</v>
      </c>
      <c r="G1849" s="3">
        <v>0</v>
      </c>
      <c r="H1849" s="5">
        <v>1308.08851</v>
      </c>
      <c r="I1849" s="6">
        <v>833.7084</v>
      </c>
      <c r="J1849" s="4">
        <v>0</v>
      </c>
      <c r="K1849" s="7">
        <v>1.7803</v>
      </c>
    </row>
    <row r="1850" spans="1:13">
      <c r="A1850" s="8" t="s">
        <v>1861</v>
      </c>
      <c r="B1850" s="2">
        <f>HYPERLINK("https://www.suredividend.com/sure-analysis-research-database/","Vanda Pharmaceuticals Inc.")</f>
        <v>0</v>
      </c>
      <c r="C1850" s="1" t="s">
        <v>1965</v>
      </c>
      <c r="D1850" s="3">
        <v>7.94</v>
      </c>
      <c r="F1850" s="4">
        <v>0</v>
      </c>
      <c r="G1850" s="3">
        <v>0</v>
      </c>
      <c r="H1850" s="5">
        <v>468.636276</v>
      </c>
      <c r="J1850" s="4">
        <v>0</v>
      </c>
      <c r="K1850" s="7">
        <v>0.3765</v>
      </c>
      <c r="L1850" s="3">
        <v>9.6</v>
      </c>
      <c r="M1850" s="3">
        <v>3.81</v>
      </c>
    </row>
    <row r="1851" spans="1:13">
      <c r="A1851" s="8" t="s">
        <v>1862</v>
      </c>
      <c r="B1851" s="2">
        <f>HYPERLINK("https://www.suredividend.com/sure-analysis-research-database/","Vishay Precision Group, Inc.")</f>
        <v>0</v>
      </c>
      <c r="C1851" s="1" t="s">
        <v>1960</v>
      </c>
      <c r="D1851" s="3">
        <v>50.54</v>
      </c>
      <c r="F1851" s="4">
        <v>0</v>
      </c>
      <c r="G1851" s="3">
        <v>0</v>
      </c>
      <c r="H1851" s="5">
        <v>573.712582</v>
      </c>
      <c r="I1851" s="6">
        <v>72.3289</v>
      </c>
      <c r="J1851" s="4">
        <v>0.003388</v>
      </c>
      <c r="K1851" s="7">
        <v>1.2861</v>
      </c>
      <c r="L1851" s="3">
        <v>45.98</v>
      </c>
      <c r="M1851" s="3">
        <v>18.57</v>
      </c>
    </row>
    <row r="1852" spans="1:13">
      <c r="A1852" s="8" t="s">
        <v>1863</v>
      </c>
      <c r="B1852" s="2">
        <f>HYPERLINK("https://www.suredividend.com/sure-analysis-research-database/","Vera Bradley, Inc.")</f>
        <v>0</v>
      </c>
      <c r="C1852" s="1" t="s">
        <v>1963</v>
      </c>
      <c r="D1852" s="3">
        <v>2.65</v>
      </c>
      <c r="F1852" s="4">
        <v>0</v>
      </c>
      <c r="G1852" s="3">
        <v>0</v>
      </c>
      <c r="H1852" s="5">
        <v>73.801258</v>
      </c>
      <c r="J1852" s="4">
        <v>0</v>
      </c>
      <c r="K1852" s="7">
        <v>0.9569</v>
      </c>
      <c r="L1852" s="3">
        <v>3.98</v>
      </c>
      <c r="M1852" s="3">
        <v>1.39</v>
      </c>
    </row>
    <row r="1853" spans="1:13">
      <c r="A1853" s="8" t="s">
        <v>1864</v>
      </c>
      <c r="B1853" s="2">
        <f>HYPERLINK("https://www.suredividend.com/sure-analysis-research-database/","Verrica Pharmaceuticals Inc.")</f>
        <v>0</v>
      </c>
      <c r="C1853" s="1" t="s">
        <v>1965</v>
      </c>
      <c r="D1853" s="3">
        <v>7.9</v>
      </c>
      <c r="F1853" s="4">
        <v>0</v>
      </c>
      <c r="G1853" s="3">
        <v>0</v>
      </c>
      <c r="H1853" s="5">
        <v>73.642672</v>
      </c>
      <c r="J1853" s="4">
        <v>0</v>
      </c>
      <c r="K1853" s="7">
        <v>1.4329</v>
      </c>
      <c r="L1853" s="3">
        <v>9.82</v>
      </c>
      <c r="M1853" s="3">
        <v>3.28</v>
      </c>
    </row>
    <row r="1854" spans="1:13">
      <c r="A1854" s="8" t="s">
        <v>1865</v>
      </c>
      <c r="B1854" s="2">
        <f>HYPERLINK("https://www.suredividend.com/sure-analysis-research-database/","Viridian Therapeutics, Inc.\DE")</f>
        <v>0</v>
      </c>
      <c r="C1854" s="1" t="s">
        <v>1959</v>
      </c>
      <c r="D1854" s="3">
        <v>32.18</v>
      </c>
      <c r="F1854" s="4">
        <v>0</v>
      </c>
      <c r="G1854" s="3">
        <v>0</v>
      </c>
      <c r="H1854" s="5">
        <v>3081.822438</v>
      </c>
      <c r="J1854" s="4">
        <v>0</v>
      </c>
      <c r="K1854" s="7">
        <v>1.3949</v>
      </c>
      <c r="L1854" s="3">
        <v>34.29</v>
      </c>
      <c r="M1854" s="3">
        <v>9.9</v>
      </c>
    </row>
    <row r="1855" spans="1:13">
      <c r="A1855" s="8" t="s">
        <v>1866</v>
      </c>
      <c r="B1855" s="2">
        <f>HYPERLINK("https://www.suredividend.com/sure-analysis-research-database/","Veris Residential, Inc.")</f>
        <v>0</v>
      </c>
      <c r="C1855" s="1" t="s">
        <v>1959</v>
      </c>
      <c r="D1855" s="3">
        <v>14.9</v>
      </c>
      <c r="E1855" s="4">
        <v>0.02</v>
      </c>
      <c r="F1855" s="4">
        <v>0.00915</v>
      </c>
      <c r="G1855" s="3">
        <v>0.32</v>
      </c>
      <c r="H1855" s="5">
        <v>1392.052988</v>
      </c>
      <c r="I1855" s="6">
        <v>22.0978</v>
      </c>
      <c r="J1855" s="4">
        <v>0.791397</v>
      </c>
      <c r="K1855" s="7">
        <v>0.6516999999999999</v>
      </c>
      <c r="L1855" s="3">
        <v>16.91</v>
      </c>
      <c r="M1855" s="3">
        <v>13.54</v>
      </c>
    </row>
    <row r="1856" spans="1:13">
      <c r="A1856" s="8" t="s">
        <v>1867</v>
      </c>
      <c r="B1856" s="2">
        <f>HYPERLINK("https://www.suredividend.com/sure-analysis-research-database/","Varex Imaging Corp")</f>
        <v>0</v>
      </c>
      <c r="C1856" s="1" t="s">
        <v>1965</v>
      </c>
      <c r="D1856" s="3">
        <v>14.14</v>
      </c>
      <c r="F1856" s="4">
        <v>0</v>
      </c>
      <c r="G1856" s="3">
        <v>0</v>
      </c>
      <c r="H1856" s="5">
        <v>590.0549999999999</v>
      </c>
      <c r="J1856" s="4">
        <v>0</v>
      </c>
      <c r="K1856" s="7">
        <v>1.7924</v>
      </c>
      <c r="L1856" s="3">
        <v>15.46</v>
      </c>
      <c r="M1856" s="3">
        <v>6.76</v>
      </c>
    </row>
    <row r="1857" spans="1:13">
      <c r="A1857" s="8" t="s">
        <v>1868</v>
      </c>
      <c r="B1857" s="2">
        <f>HYPERLINK("https://www.suredividend.com/sure-analysis-research-database/","VARONIS SYSTEMS INC")</f>
        <v>0</v>
      </c>
      <c r="C1857" s="1" t="s">
        <v>1960</v>
      </c>
      <c r="D1857" s="3">
        <v>33.2</v>
      </c>
      <c r="F1857" s="4">
        <v>0</v>
      </c>
      <c r="G1857" s="3">
        <v>0</v>
      </c>
      <c r="H1857" s="5">
        <v>3878.821433</v>
      </c>
      <c r="J1857" s="4">
        <v>0</v>
      </c>
      <c r="K1857" s="7">
        <v>1.0314</v>
      </c>
      <c r="L1857" s="3">
        <v>63.9</v>
      </c>
      <c r="M1857" s="3">
        <v>30.02</v>
      </c>
    </row>
    <row r="1858" spans="1:13">
      <c r="A1858" s="8" t="s">
        <v>1869</v>
      </c>
      <c r="B1858" s="2">
        <f>HYPERLINK("https://www.suredividend.com/sure-analysis-research-database/","VERINT SYSTEMS INC")</f>
        <v>0</v>
      </c>
      <c r="C1858" s="1" t="s">
        <v>1960</v>
      </c>
      <c r="D1858" s="3">
        <v>20.5</v>
      </c>
      <c r="F1858" s="4">
        <v>0</v>
      </c>
      <c r="G1858" s="3">
        <v>0</v>
      </c>
      <c r="H1858" s="5">
        <v>1237.443736</v>
      </c>
      <c r="I1858" s="6">
        <v>27.2391</v>
      </c>
      <c r="J1858" s="4">
        <v>0.2724</v>
      </c>
      <c r="K1858" s="7">
        <v>1.6595</v>
      </c>
    </row>
    <row r="1859" spans="1:13">
      <c r="A1859" s="8" t="s">
        <v>1870</v>
      </c>
      <c r="B1859" s="2">
        <f>HYPERLINK("https://www.suredividend.com/sure-analysis-research-database/","VERRA MOBILITY Corp")</f>
        <v>0</v>
      </c>
      <c r="C1859" s="1" t="s">
        <v>1964</v>
      </c>
      <c r="D1859" s="3">
        <v>22</v>
      </c>
      <c r="F1859" s="4">
        <v>0</v>
      </c>
      <c r="G1859" s="3">
        <v>0</v>
      </c>
      <c r="H1859" s="5">
        <v>3510.417834</v>
      </c>
      <c r="I1859" s="6">
        <v>68.7011</v>
      </c>
      <c r="J1859" s="4">
        <v>0</v>
      </c>
      <c r="K1859" s="7">
        <v>0.3739</v>
      </c>
      <c r="L1859" s="3">
        <v>27.2</v>
      </c>
      <c r="M1859" s="3">
        <v>19.51</v>
      </c>
    </row>
    <row r="1860" spans="1:13">
      <c r="A1860" s="8" t="s">
        <v>1871</v>
      </c>
      <c r="B1860" s="2">
        <f>HYPERLINK("https://www.suredividend.com/sure-analysis-VRTS/","VIRTUS INVESTMENT PARTNERS, INC.")</f>
        <v>0</v>
      </c>
      <c r="C1860" s="1" t="s">
        <v>1962</v>
      </c>
      <c r="D1860" s="3">
        <v>167.67</v>
      </c>
      <c r="E1860" s="4">
        <v>0.05725532295580605</v>
      </c>
      <c r="F1860" s="4">
        <v>0.04019</v>
      </c>
      <c r="G1860" s="3">
        <v>9.15</v>
      </c>
      <c r="H1860" s="5">
        <v>1132.916351</v>
      </c>
      <c r="I1860" s="6">
        <v>8.3156</v>
      </c>
      <c r="J1860" s="4">
        <v>0.323215</v>
      </c>
      <c r="K1860" s="7">
        <v>1.2256</v>
      </c>
      <c r="L1860" s="3">
        <v>209.5</v>
      </c>
      <c r="M1860" s="3">
        <v>136.49</v>
      </c>
    </row>
    <row r="1861" spans="1:13">
      <c r="A1861" s="8" t="s">
        <v>1872</v>
      </c>
      <c r="B1861" s="2">
        <f>HYPERLINK("https://www.suredividend.com/sure-analysis-research-database/","VIASAT INC")</f>
        <v>0</v>
      </c>
      <c r="C1861" s="1" t="s">
        <v>1960</v>
      </c>
      <c r="D1861" s="3">
        <v>43.37</v>
      </c>
      <c r="F1861" s="4">
        <v>0</v>
      </c>
      <c r="G1861" s="3">
        <v>0</v>
      </c>
      <c r="H1861" s="5">
        <v>5767.655596</v>
      </c>
      <c r="K1861" s="7">
        <v>0.7207</v>
      </c>
      <c r="L1861" s="3">
        <v>46.43</v>
      </c>
      <c r="M1861" s="3">
        <v>7.36</v>
      </c>
    </row>
    <row r="1862" spans="1:13">
      <c r="A1862" s="8" t="s">
        <v>1873</v>
      </c>
      <c r="B1862" s="2">
        <f>HYPERLINK("https://www.suredividend.com/sure-analysis-research-database/","Victoria's Secret &amp; Co.")</f>
        <v>0</v>
      </c>
      <c r="C1862" s="1" t="s">
        <v>1959</v>
      </c>
      <c r="D1862" s="3">
        <v>65.31999999999999</v>
      </c>
      <c r="F1862" s="4">
        <v>0</v>
      </c>
      <c r="G1862" s="3">
        <v>0</v>
      </c>
      <c r="H1862" s="5">
        <v>5220.690817</v>
      </c>
      <c r="I1862" s="6">
        <v>30.7099</v>
      </c>
      <c r="J1862" s="4">
        <v>0</v>
      </c>
      <c r="K1862" s="7">
        <v>1.707</v>
      </c>
      <c r="L1862" s="3">
        <v>66.89</v>
      </c>
      <c r="M1862" s="3">
        <v>13.76</v>
      </c>
    </row>
    <row r="1863" spans="1:13">
      <c r="A1863" s="8" t="s">
        <v>1874</v>
      </c>
      <c r="B1863" s="2">
        <f>HYPERLINK("https://www.suredividend.com/sure-analysis-research-database/","VSE CORP")</f>
        <v>0</v>
      </c>
      <c r="C1863" s="1" t="s">
        <v>1964</v>
      </c>
      <c r="D1863" s="3">
        <v>216</v>
      </c>
      <c r="F1863" s="4">
        <v>0.00195</v>
      </c>
      <c r="G1863" s="3">
        <v>0.5</v>
      </c>
      <c r="H1863" s="5">
        <v>4476.52852</v>
      </c>
      <c r="I1863" s="6">
        <v>399.7614</v>
      </c>
      <c r="J1863" s="4">
        <v>0.735488</v>
      </c>
      <c r="K1863" s="7">
        <v>1.431</v>
      </c>
      <c r="L1863" s="3">
        <v>216.41</v>
      </c>
      <c r="M1863" s="3">
        <v>91.3</v>
      </c>
    </row>
    <row r="1864" spans="1:13">
      <c r="A1864" s="8" t="s">
        <v>1875</v>
      </c>
      <c r="B1864" s="2">
        <f>HYPERLINK("https://www.suredividend.com/sure-analysis-research-database/","VISHAY INTERTECHNOLOGY INC")</f>
        <v>0</v>
      </c>
      <c r="C1864" s="1" t="s">
        <v>1960</v>
      </c>
      <c r="D1864" s="3">
        <v>19.38</v>
      </c>
      <c r="E1864" s="4">
        <v>0.02</v>
      </c>
      <c r="F1864" s="4">
        <v>0.02397</v>
      </c>
      <c r="G1864" s="3">
        <v>0.4</v>
      </c>
      <c r="H1864" s="5">
        <v>2582.958925</v>
      </c>
      <c r="K1864" s="7">
        <v>1.6322</v>
      </c>
      <c r="L1864" s="3">
        <v>19.3</v>
      </c>
      <c r="M1864" s="3">
        <v>10.14</v>
      </c>
    </row>
    <row r="1865" spans="1:13">
      <c r="A1865" s="8" t="s">
        <v>1876</v>
      </c>
      <c r="B1865" s="2">
        <f>HYPERLINK("https://www.suredividend.com/sure-analysis-research-database/","Verastem, Inc.")</f>
        <v>0</v>
      </c>
      <c r="C1865" s="1" t="s">
        <v>1965</v>
      </c>
      <c r="D1865" s="3">
        <v>6.39</v>
      </c>
      <c r="F1865" s="4">
        <v>0</v>
      </c>
      <c r="G1865" s="3">
        <v>0</v>
      </c>
      <c r="H1865" s="5">
        <v>424.695398</v>
      </c>
      <c r="J1865" s="4">
        <v>0</v>
      </c>
      <c r="K1865" s="7">
        <v>1.1689</v>
      </c>
      <c r="L1865" s="3">
        <v>11.25</v>
      </c>
      <c r="M1865" s="3">
        <v>4.01</v>
      </c>
    </row>
    <row r="1866" spans="1:13">
      <c r="A1866" s="8" t="s">
        <v>1877</v>
      </c>
      <c r="B1866" s="2">
        <f>HYPERLINK("https://www.suredividend.com/sure-analysis-research-database/","Vital Energy, Inc.")</f>
        <v>0</v>
      </c>
      <c r="C1866" s="1" t="s">
        <v>1959</v>
      </c>
      <c r="D1866" s="3">
        <v>17.91</v>
      </c>
      <c r="F1866" s="4">
        <v>0</v>
      </c>
      <c r="G1866" s="3">
        <v>0</v>
      </c>
      <c r="H1866" s="5">
        <v>693.32394</v>
      </c>
      <c r="J1866" s="4">
        <v>0</v>
      </c>
      <c r="K1866" s="7">
        <v>1.1714</v>
      </c>
    </row>
    <row r="1867" spans="1:13">
      <c r="A1867" s="8" t="s">
        <v>1878</v>
      </c>
      <c r="B1867" s="2">
        <f>HYPERLINK("https://www.suredividend.com/sure-analysis-research-database/","Bristow Group Inc.")</f>
        <v>0</v>
      </c>
      <c r="C1867" s="1" t="s">
        <v>1959</v>
      </c>
      <c r="D1867" s="3">
        <v>41.59</v>
      </c>
      <c r="F1867" s="4">
        <v>0</v>
      </c>
      <c r="G1867" s="3">
        <v>0</v>
      </c>
      <c r="H1867" s="5">
        <v>1204.518</v>
      </c>
      <c r="I1867" s="6">
        <v>8.456099999999999</v>
      </c>
      <c r="J1867" s="4">
        <v>0</v>
      </c>
      <c r="K1867" s="7">
        <v>1.1866</v>
      </c>
      <c r="L1867" s="3">
        <v>42.89</v>
      </c>
      <c r="M1867" s="3">
        <v>25.11</v>
      </c>
    </row>
    <row r="1868" spans="1:13">
      <c r="A1868" s="8" t="s">
        <v>1879</v>
      </c>
      <c r="B1868" s="2">
        <f>HYPERLINK("https://www.suredividend.com/sure-analysis-research-database/","Vitesse Energy, Inc.")</f>
        <v>0</v>
      </c>
      <c r="C1868" s="1" t="s">
        <v>1959</v>
      </c>
      <c r="D1868" s="3">
        <v>19.61</v>
      </c>
      <c r="E1868" s="4">
        <v>0.11</v>
      </c>
      <c r="F1868" s="4">
        <v>0.06544</v>
      </c>
      <c r="G1868" s="3">
        <v>2.25</v>
      </c>
      <c r="H1868" s="5">
        <v>559.3641699999999</v>
      </c>
      <c r="I1868" s="6">
        <v>26.7741</v>
      </c>
      <c r="J1868" s="4">
        <v>4.109181</v>
      </c>
      <c r="K1868" s="7">
        <v>0.795</v>
      </c>
      <c r="L1868" s="3">
        <v>25.85</v>
      </c>
      <c r="M1868" s="3">
        <v>17.58</v>
      </c>
    </row>
    <row r="1869" spans="1:13">
      <c r="A1869" s="8" t="s">
        <v>1880</v>
      </c>
      <c r="B1869" s="2">
        <f>HYPERLINK("https://www.suredividend.com/sure-analysis-research-database/","VirTra, Inc")</f>
        <v>0</v>
      </c>
      <c r="C1869" s="1" t="s">
        <v>1964</v>
      </c>
      <c r="D1869" s="3">
        <v>4.66</v>
      </c>
      <c r="F1869" s="4">
        <v>0</v>
      </c>
      <c r="G1869" s="3">
        <v>0</v>
      </c>
      <c r="H1869" s="5">
        <v>52.32181</v>
      </c>
      <c r="I1869" s="6">
        <v>322.0517</v>
      </c>
      <c r="J1869" s="4">
        <v>0</v>
      </c>
      <c r="K1869" s="7">
        <v>1.0394</v>
      </c>
      <c r="L1869" s="3">
        <v>7.47</v>
      </c>
      <c r="M1869" s="3">
        <v>3.57</v>
      </c>
    </row>
    <row r="1870" spans="1:13">
      <c r="A1870" s="8" t="s">
        <v>1881</v>
      </c>
      <c r="B1870" s="2">
        <f>HYPERLINK("https://www.suredividend.com/sure-analysis-research-database/","Ventyx Biosciences, Inc.")</f>
        <v>0</v>
      </c>
      <c r="C1870" s="1" t="s">
        <v>1959</v>
      </c>
      <c r="D1870" s="3">
        <v>13.87</v>
      </c>
      <c r="F1870" s="4">
        <v>0</v>
      </c>
      <c r="G1870" s="3">
        <v>0</v>
      </c>
      <c r="H1870" s="5">
        <v>989.744309</v>
      </c>
      <c r="J1870" s="4">
        <v>0</v>
      </c>
      <c r="K1870" s="7">
        <v>2.2694</v>
      </c>
      <c r="L1870" s="3">
        <v>25</v>
      </c>
      <c r="M1870" s="3">
        <v>0.78</v>
      </c>
    </row>
    <row r="1871" spans="1:13">
      <c r="A1871" s="8" t="s">
        <v>1882</v>
      </c>
      <c r="B1871" s="2">
        <f>HYPERLINK("https://www.suredividend.com/sure-analysis-research-database/","V2X, Inc.")</f>
        <v>0</v>
      </c>
      <c r="C1871" s="1" t="s">
        <v>1959</v>
      </c>
      <c r="D1871" s="3">
        <v>69.98999999999999</v>
      </c>
      <c r="F1871" s="4">
        <v>0</v>
      </c>
      <c r="G1871" s="3">
        <v>0</v>
      </c>
      <c r="H1871" s="5">
        <v>2159.522484</v>
      </c>
      <c r="I1871" s="6">
        <v>26.9415</v>
      </c>
      <c r="J1871" s="4">
        <v>0</v>
      </c>
      <c r="K1871" s="7">
        <v>1.0109</v>
      </c>
      <c r="L1871" s="3">
        <v>69.69</v>
      </c>
      <c r="M1871" s="3">
        <v>41.08</v>
      </c>
    </row>
    <row r="1872" spans="1:13">
      <c r="A1872" s="8" t="s">
        <v>1883</v>
      </c>
      <c r="B1872" s="2">
        <f>HYPERLINK("https://www.suredividend.com/sure-analysis-research-database/","Voyager Therapeutics, Inc.")</f>
        <v>0</v>
      </c>
      <c r="C1872" s="1" t="s">
        <v>1965</v>
      </c>
      <c r="D1872" s="3">
        <v>3.78</v>
      </c>
      <c r="F1872" s="4">
        <v>0</v>
      </c>
      <c r="G1872" s="3">
        <v>0</v>
      </c>
      <c r="H1872" s="5">
        <v>209.612317</v>
      </c>
      <c r="J1872" s="4">
        <v>0</v>
      </c>
      <c r="K1872" s="7">
        <v>1.2316</v>
      </c>
      <c r="L1872" s="3">
        <v>5.96</v>
      </c>
      <c r="M1872" s="3">
        <v>2.65</v>
      </c>
    </row>
    <row r="1873" spans="1:13">
      <c r="A1873" s="8" t="s">
        <v>1884</v>
      </c>
      <c r="B1873" s="2">
        <f>HYPERLINK("https://www.suredividend.com/sure-analysis-research-database/","NCR Voyix Corp")</f>
        <v>0</v>
      </c>
      <c r="C1873" s="1" t="s">
        <v>1959</v>
      </c>
      <c r="D1873" s="3">
        <v>10.275</v>
      </c>
      <c r="F1873" s="4">
        <v>0</v>
      </c>
      <c r="G1873" s="3">
        <v>0</v>
      </c>
      <c r="H1873" s="5">
        <v>1420.984586</v>
      </c>
      <c r="K1873" s="7">
        <v>1.5878</v>
      </c>
      <c r="L1873" s="3">
        <v>14.67</v>
      </c>
      <c r="M1873" s="3">
        <v>7.55</v>
      </c>
    </row>
    <row r="1874" spans="1:13">
      <c r="A1874" s="8" t="s">
        <v>1885</v>
      </c>
      <c r="B1874" s="2">
        <f>HYPERLINK("https://www.suredividend.com/sure-analysis-WABC/","WESTAMERICA BANCORPORATION")</f>
        <v>0</v>
      </c>
      <c r="C1874" s="1" t="s">
        <v>1962</v>
      </c>
      <c r="D1874" s="3">
        <v>51.16</v>
      </c>
      <c r="E1874" s="4">
        <v>0.03596559812353402</v>
      </c>
      <c r="F1874" s="4">
        <v>0.03557</v>
      </c>
      <c r="G1874" s="3">
        <v>1.82</v>
      </c>
      <c r="H1874" s="5">
        <v>1275.325559</v>
      </c>
      <c r="I1874" s="6">
        <v>10.6219</v>
      </c>
      <c r="J1874" s="4">
        <v>0.393242</v>
      </c>
      <c r="K1874" s="7">
        <v>0.711</v>
      </c>
      <c r="L1874" s="3">
        <v>51.88</v>
      </c>
      <c r="M1874" s="3">
        <v>40.81</v>
      </c>
    </row>
    <row r="1875" spans="1:13">
      <c r="A1875" s="8" t="s">
        <v>1886</v>
      </c>
      <c r="B1875" s="2">
        <f>HYPERLINK("https://www.suredividend.com/sure-analysis-WAFD/","WAFD INC")</f>
        <v>0</v>
      </c>
      <c r="C1875" s="1" t="s">
        <v>1962</v>
      </c>
      <c r="D1875" s="3">
        <v>32.605</v>
      </c>
      <c r="E1875" s="4">
        <v>0.03312375402545623</v>
      </c>
      <c r="F1875" s="4">
        <v>0.03028</v>
      </c>
      <c r="G1875" s="3">
        <v>1.08</v>
      </c>
      <c r="H1875" s="5">
        <v>2501.219675</v>
      </c>
      <c r="I1875" s="6">
        <v>11.8293</v>
      </c>
      <c r="J1875" s="4">
        <v>0.439089</v>
      </c>
      <c r="K1875" s="7">
        <v>0.7662</v>
      </c>
      <c r="L1875" s="3">
        <v>33.92</v>
      </c>
      <c r="M1875" s="3">
        <v>23.12</v>
      </c>
    </row>
    <row r="1876" spans="1:13">
      <c r="A1876" s="8" t="s">
        <v>1887</v>
      </c>
      <c r="B1876" s="2">
        <f>HYPERLINK("https://www.suredividend.com/sure-analysis-research-database/","Waldencast plc")</f>
        <v>0</v>
      </c>
      <c r="C1876" s="1" t="s">
        <v>1959</v>
      </c>
      <c r="D1876" s="3">
        <v>1.7</v>
      </c>
      <c r="F1876" s="4">
        <v>0</v>
      </c>
      <c r="G1876" s="3">
        <v>0</v>
      </c>
      <c r="H1876" s="5">
        <v>208.578046</v>
      </c>
      <c r="J1876" s="4">
        <v>0</v>
      </c>
      <c r="K1876" s="7">
        <v>0.0101</v>
      </c>
      <c r="L1876" s="3">
        <v>4.1</v>
      </c>
      <c r="M1876" s="3">
        <v>1.45</v>
      </c>
    </row>
    <row r="1877" spans="1:13">
      <c r="A1877" s="8" t="s">
        <v>1888</v>
      </c>
      <c r="B1877" s="2">
        <f>HYPERLINK("https://www.suredividend.com/sure-analysis-research-database/","WASHINGTON TRUST BANCORP INC")</f>
        <v>0</v>
      </c>
      <c r="C1877" s="1" t="s">
        <v>1962</v>
      </c>
      <c r="D1877" s="3">
        <v>31.43</v>
      </c>
      <c r="E1877" s="4">
        <v>0.07000000000000001</v>
      </c>
      <c r="F1877" s="4">
        <v>0.0743</v>
      </c>
      <c r="G1877" s="3">
        <v>2.24</v>
      </c>
      <c r="H1877" s="5">
        <v>598.268007</v>
      </c>
      <c r="K1877" s="7">
        <v>1.1644</v>
      </c>
      <c r="L1877" s="3">
        <v>31.6</v>
      </c>
      <c r="M1877" s="3">
        <v>23.53</v>
      </c>
    </row>
    <row r="1878" spans="1:13">
      <c r="A1878" s="8" t="s">
        <v>1889</v>
      </c>
      <c r="B1878" s="2">
        <f>HYPERLINK("https://www.suredividend.com/sure-analysis-research-database/","Waystar Holding Corp.")</f>
        <v>0</v>
      </c>
      <c r="C1878" s="1" t="s">
        <v>1959</v>
      </c>
      <c r="D1878" s="3">
        <v>29.62</v>
      </c>
      <c r="F1878" s="4">
        <v>0</v>
      </c>
      <c r="G1878" s="3">
        <v>0</v>
      </c>
      <c r="H1878" s="5">
        <v>5655.318193</v>
      </c>
      <c r="I1878" s="6">
        <v>50.8663</v>
      </c>
      <c r="J1878" s="4">
        <v>0</v>
      </c>
      <c r="K1878" s="7">
        <v>0.7128</v>
      </c>
      <c r="L1878" s="3">
        <v>48.11</v>
      </c>
      <c r="M1878" s="3">
        <v>29.4</v>
      </c>
    </row>
    <row r="1879" spans="1:13">
      <c r="A1879" s="8" t="s">
        <v>1890</v>
      </c>
      <c r="B1879" s="2">
        <f>HYPERLINK("https://www.suredividend.com/sure-analysis-research-database/","WEBTOON Entertainment Inc.")</f>
        <v>0</v>
      </c>
      <c r="C1879" s="1" t="s">
        <v>1959</v>
      </c>
      <c r="D1879" s="3">
        <v>12.84</v>
      </c>
      <c r="F1879" s="4">
        <v>0</v>
      </c>
      <c r="G1879" s="3">
        <v>0</v>
      </c>
      <c r="H1879" s="5">
        <v>1672.492996</v>
      </c>
      <c r="J1879" s="4">
        <v>0</v>
      </c>
      <c r="K1879" s="7">
        <v>1.258</v>
      </c>
      <c r="L1879" s="3">
        <v>22.47</v>
      </c>
      <c r="M1879" s="3">
        <v>6.75</v>
      </c>
    </row>
    <row r="1880" spans="1:13">
      <c r="A1880" s="8" t="s">
        <v>1891</v>
      </c>
      <c r="B1880" s="2">
        <f>HYPERLINK("https://www.suredividend.com/sure-analysis-WD/","Walker &amp; Dunlop, Inc.")</f>
        <v>0</v>
      </c>
      <c r="C1880" s="1" t="s">
        <v>1962</v>
      </c>
      <c r="D1880" s="3">
        <v>64.17</v>
      </c>
      <c r="E1880" s="4">
        <v>0.04176406420445691</v>
      </c>
      <c r="F1880" s="4">
        <v>0.04442</v>
      </c>
      <c r="G1880" s="3">
        <v>2.68</v>
      </c>
      <c r="H1880" s="5">
        <v>2184.87984</v>
      </c>
      <c r="I1880" s="6">
        <v>18.9999</v>
      </c>
      <c r="J1880" s="4">
        <v>0.819504</v>
      </c>
      <c r="K1880" s="7">
        <v>1.294</v>
      </c>
      <c r="L1880" s="3">
        <v>93.66</v>
      </c>
      <c r="M1880" s="3">
        <v>58.6</v>
      </c>
    </row>
    <row r="1881" spans="1:13">
      <c r="A1881" s="8" t="s">
        <v>1892</v>
      </c>
      <c r="B1881" s="2">
        <f>HYPERLINK("https://www.suredividend.com/sure-analysis-WDFC/","WD 40 CO")</f>
        <v>0</v>
      </c>
      <c r="C1881" s="1" t="s">
        <v>1970</v>
      </c>
      <c r="D1881" s="3">
        <v>210.25</v>
      </c>
      <c r="E1881" s="4">
        <v>0.01940546967895363</v>
      </c>
      <c r="F1881" s="4">
        <v>0.01664</v>
      </c>
      <c r="G1881" s="3">
        <v>3.84</v>
      </c>
      <c r="H1881" s="5">
        <v>2835.494996</v>
      </c>
      <c r="I1881" s="6">
        <v>31.6744</v>
      </c>
      <c r="J1881" s="4">
        <v>0.570319</v>
      </c>
      <c r="K1881" s="7">
        <v>0.242</v>
      </c>
      <c r="L1881" s="3">
        <v>248.86</v>
      </c>
      <c r="M1881" s="3">
        <v>174.51</v>
      </c>
    </row>
    <row r="1882" spans="1:13">
      <c r="A1882" s="8" t="s">
        <v>1893</v>
      </c>
      <c r="B1882" s="2">
        <f>HYPERLINK("https://www.suredividend.com/sure-analysis-research-database/","Weave Communications, Inc.")</f>
        <v>0</v>
      </c>
      <c r="C1882" s="1" t="s">
        <v>1959</v>
      </c>
      <c r="D1882" s="3">
        <v>6.67</v>
      </c>
      <c r="F1882" s="4">
        <v>0</v>
      </c>
      <c r="G1882" s="3">
        <v>0</v>
      </c>
      <c r="H1882" s="5">
        <v>520.431799</v>
      </c>
      <c r="J1882" s="4">
        <v>0</v>
      </c>
      <c r="K1882" s="7">
        <v>1.8025</v>
      </c>
      <c r="L1882" s="3">
        <v>17.63</v>
      </c>
      <c r="M1882" s="3">
        <v>5.64</v>
      </c>
    </row>
    <row r="1883" spans="1:13">
      <c r="A1883" s="8" t="s">
        <v>1894</v>
      </c>
      <c r="B1883" s="2">
        <f>HYPERLINK("https://www.suredividend.com/sure-analysis-WERN/","WERNER ENTERPRISES INC")</f>
        <v>0</v>
      </c>
      <c r="C1883" s="1" t="s">
        <v>1964</v>
      </c>
      <c r="D1883" s="3">
        <v>33.7</v>
      </c>
      <c r="E1883" s="4">
        <v>0.01661721068249258</v>
      </c>
      <c r="F1883" s="4">
        <v>0.01524</v>
      </c>
      <c r="G1883" s="3">
        <v>0.5600000000000001</v>
      </c>
      <c r="H1883" s="5">
        <v>2030.042656</v>
      </c>
      <c r="I1883" s="6">
        <v>80.3023</v>
      </c>
      <c r="J1883" s="4">
        <v>1.437573</v>
      </c>
      <c r="K1883" s="7">
        <v>0.8111</v>
      </c>
      <c r="L1883" s="3">
        <v>37.86</v>
      </c>
      <c r="M1883" s="3">
        <v>22.69</v>
      </c>
    </row>
    <row r="1884" spans="1:13">
      <c r="A1884" s="8" t="s">
        <v>1895</v>
      </c>
      <c r="B1884" s="2">
        <f>HYPERLINK("https://www.suredividend.com/sure-analysis-research-database/","Westrock Coffee Co")</f>
        <v>0</v>
      </c>
      <c r="C1884" s="1" t="s">
        <v>1959</v>
      </c>
      <c r="D1884" s="3">
        <v>4.74</v>
      </c>
      <c r="F1884" s="4">
        <v>0</v>
      </c>
      <c r="G1884" s="3">
        <v>0</v>
      </c>
      <c r="H1884" s="5">
        <v>455.077077</v>
      </c>
      <c r="J1884" s="4">
        <v>0</v>
      </c>
      <c r="K1884" s="7">
        <v>0.7491</v>
      </c>
      <c r="L1884" s="3">
        <v>7.92</v>
      </c>
      <c r="M1884" s="3">
        <v>3.59</v>
      </c>
    </row>
    <row r="1885" spans="1:13">
      <c r="A1885" s="8" t="s">
        <v>1896</v>
      </c>
      <c r="B1885" s="2">
        <f>HYPERLINK("https://www.suredividend.com/sure-analysis-WEYS/","WEYCO GROUP INC")</f>
        <v>0</v>
      </c>
      <c r="C1885" s="1" t="s">
        <v>1963</v>
      </c>
      <c r="D1885" s="3">
        <v>32</v>
      </c>
      <c r="E1885" s="4">
        <v>0.03375</v>
      </c>
      <c r="F1885" s="4">
        <v>0.05979</v>
      </c>
      <c r="G1885" s="3">
        <v>3.07</v>
      </c>
      <c r="H1885" s="5">
        <v>305.070997</v>
      </c>
      <c r="I1885" s="6">
        <v>12.5106</v>
      </c>
      <c r="J1885" s="4">
        <v>0.320074</v>
      </c>
      <c r="K1885" s="7">
        <v>1.1116</v>
      </c>
      <c r="L1885" s="3">
        <v>34.44</v>
      </c>
      <c r="M1885" s="3">
        <v>23.45</v>
      </c>
    </row>
    <row r="1886" spans="1:13">
      <c r="A1886" s="8" t="s">
        <v>1897</v>
      </c>
      <c r="B1886" s="2">
        <f>HYPERLINK("https://www.suredividend.com/sure-analysis-WGO/","WINNEBAGO INDUSTRIES INC")</f>
        <v>0</v>
      </c>
      <c r="C1886" s="1" t="s">
        <v>1963</v>
      </c>
      <c r="D1886" s="3">
        <v>48.62</v>
      </c>
      <c r="E1886" s="4">
        <v>0.02879473467708762</v>
      </c>
      <c r="F1886" s="4">
        <v>0.02393</v>
      </c>
      <c r="G1886" s="3">
        <v>1.38</v>
      </c>
      <c r="H1886" s="5">
        <v>1363.056236</v>
      </c>
      <c r="I1886" s="6">
        <v>37.4466</v>
      </c>
      <c r="J1886" s="4">
        <v>1.071429</v>
      </c>
      <c r="K1886" s="7">
        <v>1.1952</v>
      </c>
      <c r="L1886" s="3">
        <v>48.11</v>
      </c>
      <c r="M1886" s="3">
        <v>27.2</v>
      </c>
    </row>
    <row r="1887" spans="1:13">
      <c r="A1887" s="8" t="s">
        <v>1898</v>
      </c>
      <c r="B1887" s="2">
        <f>HYPERLINK("https://www.suredividend.com/sure-analysis-research-database/","GeneDx Holdings Corp.")</f>
        <v>0</v>
      </c>
      <c r="C1887" s="1" t="s">
        <v>1959</v>
      </c>
      <c r="D1887" s="3">
        <v>101.77</v>
      </c>
      <c r="F1887" s="4">
        <v>0</v>
      </c>
      <c r="G1887" s="3">
        <v>0</v>
      </c>
      <c r="H1887" s="5">
        <v>2891.615184</v>
      </c>
      <c r="I1887" s="6">
        <v>1388.1974</v>
      </c>
      <c r="J1887" s="4">
        <v>0</v>
      </c>
      <c r="K1887" s="7">
        <v>1.4486</v>
      </c>
      <c r="L1887" s="3">
        <v>170.87</v>
      </c>
      <c r="M1887" s="3">
        <v>55.17</v>
      </c>
    </row>
    <row r="1888" spans="1:13">
      <c r="A1888" s="8" t="s">
        <v>1899</v>
      </c>
      <c r="B1888" s="2">
        <f>HYPERLINK("https://www.suredividend.com/sure-analysis-WHD/","Cactus, Inc.")</f>
        <v>0</v>
      </c>
      <c r="C1888" s="1" t="s">
        <v>1969</v>
      </c>
      <c r="D1888" s="3">
        <v>56.34</v>
      </c>
      <c r="E1888" s="4">
        <v>0.009939652112176074</v>
      </c>
      <c r="F1888" s="4">
        <v>0.00929</v>
      </c>
      <c r="G1888" s="3">
        <v>0.54</v>
      </c>
      <c r="H1888" s="5">
        <v>4497.009172</v>
      </c>
      <c r="I1888" s="6">
        <v>26.0149</v>
      </c>
      <c r="J1888" s="4">
        <v>0.236267</v>
      </c>
      <c r="K1888" s="7">
        <v>1.2636</v>
      </c>
      <c r="L1888" s="3">
        <v>63.96</v>
      </c>
      <c r="M1888" s="3">
        <v>33.09</v>
      </c>
    </row>
    <row r="1889" spans="1:13">
      <c r="A1889" s="8" t="s">
        <v>1900</v>
      </c>
      <c r="B1889" s="2">
        <f>HYPERLINK("https://www.suredividend.com/sure-analysis-WINA/","WINMARK CORP")</f>
        <v>0</v>
      </c>
      <c r="C1889" s="1" t="s">
        <v>1963</v>
      </c>
      <c r="D1889" s="3">
        <v>472.01</v>
      </c>
      <c r="E1889" s="4">
        <v>0.008135420859727549</v>
      </c>
      <c r="F1889" s="4">
        <v>0.01469</v>
      </c>
      <c r="G1889" s="3">
        <v>13.78</v>
      </c>
      <c r="H1889" s="5">
        <v>1591.170083</v>
      </c>
      <c r="I1889" s="6">
        <v>38.5484</v>
      </c>
      <c r="J1889" s="4">
        <v>0.962401</v>
      </c>
      <c r="K1889" s="7">
        <v>0.5991</v>
      </c>
      <c r="L1889" s="3">
        <v>514.1</v>
      </c>
      <c r="M1889" s="3">
        <v>286.99</v>
      </c>
    </row>
    <row r="1890" spans="1:13">
      <c r="A1890" s="8" t="s">
        <v>1901</v>
      </c>
      <c r="B1890" s="2">
        <f>HYPERLINK("https://www.suredividend.com/sure-analysis-research-database/","WORKIVA INC")</f>
        <v>0</v>
      </c>
      <c r="C1890" s="1" t="s">
        <v>1960</v>
      </c>
      <c r="D1890" s="3">
        <v>80.08</v>
      </c>
      <c r="F1890" s="4">
        <v>0</v>
      </c>
      <c r="G1890" s="3">
        <v>0</v>
      </c>
      <c r="H1890" s="5">
        <v>4497.540566</v>
      </c>
      <c r="J1890" s="4">
        <v>0</v>
      </c>
      <c r="K1890" s="7">
        <v>0.8546</v>
      </c>
      <c r="L1890" s="3">
        <v>115</v>
      </c>
      <c r="M1890" s="3">
        <v>60.5</v>
      </c>
    </row>
    <row r="1891" spans="1:13">
      <c r="A1891" s="8" t="s">
        <v>1902</v>
      </c>
      <c r="B1891" s="2">
        <f>HYPERLINK("https://www.suredividend.com/sure-analysis-WKC/","WORLD KINECT CORP")</f>
        <v>0</v>
      </c>
      <c r="C1891" s="1" t="s">
        <v>1959</v>
      </c>
      <c r="D1891" s="3">
        <v>26.89</v>
      </c>
      <c r="E1891" s="4">
        <v>0.02975083674228338</v>
      </c>
      <c r="F1891" s="4">
        <v>0.02302</v>
      </c>
      <c r="G1891" s="3">
        <v>0.9399999999999999</v>
      </c>
      <c r="H1891" s="5">
        <v>1479.530125</v>
      </c>
      <c r="K1891" s="7">
        <v>1.0337</v>
      </c>
      <c r="L1891" s="3">
        <v>30.64</v>
      </c>
      <c r="M1891" s="3">
        <v>22.19</v>
      </c>
    </row>
    <row r="1892" spans="1:13">
      <c r="A1892" s="8" t="s">
        <v>1903</v>
      </c>
      <c r="B1892" s="2">
        <f>HYPERLINK("https://www.suredividend.com/sure-analysis-research-database/","Willdan Group, Inc.")</f>
        <v>0</v>
      </c>
      <c r="C1892" s="1" t="s">
        <v>1964</v>
      </c>
      <c r="D1892" s="3">
        <v>131.75</v>
      </c>
      <c r="F1892" s="4">
        <v>0</v>
      </c>
      <c r="G1892" s="3">
        <v>0</v>
      </c>
      <c r="H1892" s="5">
        <v>1916.157171</v>
      </c>
      <c r="I1892" s="6">
        <v>46.1369</v>
      </c>
      <c r="J1892" s="4">
        <v>0</v>
      </c>
      <c r="K1892" s="7">
        <v>0.9832</v>
      </c>
      <c r="L1892" s="3">
        <v>135.1</v>
      </c>
      <c r="M1892" s="3">
        <v>30.43</v>
      </c>
    </row>
    <row r="1893" spans="1:13">
      <c r="A1893" s="8" t="s">
        <v>1904</v>
      </c>
      <c r="B1893" s="2">
        <f>HYPERLINK("https://www.suredividend.com/sure-analysis-research-database/","WILLIS LEASE FINANCE CORP")</f>
        <v>0</v>
      </c>
      <c r="C1893" s="1" t="s">
        <v>1964</v>
      </c>
      <c r="D1893" s="3">
        <v>183.5</v>
      </c>
      <c r="E1893" s="4">
        <v>0.01</v>
      </c>
      <c r="F1893" s="4">
        <v>0.00356</v>
      </c>
      <c r="G1893" s="3">
        <v>1.15</v>
      </c>
      <c r="H1893" s="5">
        <v>1236.768951</v>
      </c>
      <c r="I1893" s="6">
        <v>10.5761</v>
      </c>
      <c r="J1893" s="4">
        <v>0.096786</v>
      </c>
      <c r="K1893" s="7">
        <v>1.0125</v>
      </c>
      <c r="L1893" s="3">
        <v>209.63</v>
      </c>
      <c r="M1893" s="3">
        <v>114.01</v>
      </c>
    </row>
    <row r="1894" spans="1:13">
      <c r="A1894" s="8" t="s">
        <v>1905</v>
      </c>
      <c r="B1894" s="2">
        <f>HYPERLINK("https://www.suredividend.com/sure-analysis-research-database/","Chord Energy Corp")</f>
        <v>0</v>
      </c>
      <c r="C1894" s="1" t="s">
        <v>1959</v>
      </c>
      <c r="D1894" s="3">
        <v>0</v>
      </c>
      <c r="E1894" s="4">
        <v>0.07000000000000001</v>
      </c>
      <c r="F1894" s="4">
        <v>0</v>
      </c>
      <c r="G1894" s="3">
        <v>0</v>
      </c>
      <c r="H1894" s="5">
        <v>5411.870601</v>
      </c>
      <c r="I1894" s="6">
        <v>31.7151</v>
      </c>
      <c r="J1894" s="4">
        <v>1.966731</v>
      </c>
      <c r="K1894" s="7">
        <v>0.7893</v>
      </c>
    </row>
    <row r="1895" spans="1:13">
      <c r="A1895" s="8" t="s">
        <v>1906</v>
      </c>
      <c r="B1895" s="2">
        <f>HYPERLINK("https://www.suredividend.com/sure-analysis-WLY/","JOHN WILEY &amp; SONS, INC.")</f>
        <v>0</v>
      </c>
      <c r="C1895" s="1" t="s">
        <v>1959</v>
      </c>
      <c r="D1895" s="3">
        <v>31.51</v>
      </c>
      <c r="E1895" s="4">
        <v>0.04506505871152015</v>
      </c>
      <c r="F1895" s="4">
        <v>0.04502</v>
      </c>
      <c r="G1895" s="3">
        <v>1.42</v>
      </c>
      <c r="H1895" s="5">
        <v>1655.589411</v>
      </c>
      <c r="I1895" s="6">
        <v>16.2743</v>
      </c>
      <c r="J1895" s="4">
        <v>0.743232</v>
      </c>
      <c r="K1895" s="7">
        <v>0.8181</v>
      </c>
      <c r="L1895" s="3">
        <v>45.5</v>
      </c>
      <c r="M1895" s="3">
        <v>29.18</v>
      </c>
    </row>
    <row r="1896" spans="1:13">
      <c r="A1896" s="8" t="s">
        <v>1907</v>
      </c>
      <c r="B1896" s="2">
        <f>HYPERLINK("https://www.suredividend.com/sure-analysis-research-database/","WEIS MARKETS INC")</f>
        <v>0</v>
      </c>
      <c r="C1896" s="1" t="s">
        <v>1966</v>
      </c>
      <c r="D1896" s="3">
        <v>68.93000000000001</v>
      </c>
      <c r="E1896" s="4">
        <v>0.02</v>
      </c>
      <c r="F1896" s="4">
        <v>0.02052</v>
      </c>
      <c r="G1896" s="3">
        <v>1.36</v>
      </c>
      <c r="H1896" s="5">
        <v>1703.418057</v>
      </c>
      <c r="I1896" s="6">
        <v>17.0488</v>
      </c>
      <c r="J1896" s="4">
        <v>0.358809</v>
      </c>
      <c r="K1896" s="7">
        <v>0.1037</v>
      </c>
      <c r="L1896" s="3">
        <v>88.98</v>
      </c>
      <c r="M1896" s="3">
        <v>61.1</v>
      </c>
    </row>
    <row r="1897" spans="1:13">
      <c r="A1897" s="8" t="s">
        <v>1908</v>
      </c>
      <c r="B1897" s="2">
        <f>HYPERLINK("https://www.suredividend.com/sure-analysis-research-database/","WABASH NATIONAL Corp")</f>
        <v>0</v>
      </c>
      <c r="C1897" s="1" t="s">
        <v>1964</v>
      </c>
      <c r="D1897" s="3">
        <v>10.17</v>
      </c>
      <c r="E1897" s="4">
        <v>0.03</v>
      </c>
      <c r="F1897" s="4">
        <v>0.03446</v>
      </c>
      <c r="G1897" s="3">
        <v>0.32</v>
      </c>
      <c r="H1897" s="5">
        <v>412.459365</v>
      </c>
      <c r="I1897" s="6">
        <v>1.5846</v>
      </c>
      <c r="J1897" s="4">
        <v>0.053687</v>
      </c>
      <c r="K1897" s="7">
        <v>0.885</v>
      </c>
      <c r="L1897" s="3">
        <v>16.39</v>
      </c>
      <c r="M1897" s="3">
        <v>6.62</v>
      </c>
    </row>
    <row r="1898" spans="1:13">
      <c r="A1898" s="8" t="s">
        <v>1909</v>
      </c>
      <c r="B1898" s="2">
        <f>HYPERLINK("https://www.suredividend.com/sure-analysis-research-database/","WNS (HOLDINGS) LTD")</f>
        <v>0</v>
      </c>
      <c r="C1898" s="1" t="s">
        <v>1964</v>
      </c>
      <c r="D1898" s="3">
        <v>75.06</v>
      </c>
      <c r="F1898" s="4">
        <v>0</v>
      </c>
      <c r="G1898" s="3">
        <v>0</v>
      </c>
      <c r="H1898" s="5">
        <v>328.052593</v>
      </c>
      <c r="I1898" s="6">
        <v>2.3381</v>
      </c>
      <c r="J1898" s="4">
        <v>0</v>
      </c>
      <c r="K1898" s="7">
        <v>0.5548</v>
      </c>
    </row>
    <row r="1899" spans="1:13">
      <c r="A1899" s="8" t="s">
        <v>1910</v>
      </c>
      <c r="B1899" s="2">
        <f>HYPERLINK("https://www.suredividend.com/sure-analysis-research-database/","Petco Health &amp; Wellness Company, Inc.")</f>
        <v>0</v>
      </c>
      <c r="C1899" s="1" t="s">
        <v>1959</v>
      </c>
      <c r="D1899" s="3">
        <v>2.94</v>
      </c>
      <c r="F1899" s="4">
        <v>0</v>
      </c>
      <c r="G1899" s="3">
        <v>0</v>
      </c>
      <c r="H1899" s="5">
        <v>937.962615</v>
      </c>
      <c r="J1899" s="4">
        <v>0</v>
      </c>
      <c r="K1899" s="7">
        <v>1.6259</v>
      </c>
      <c r="L1899" s="3">
        <v>4.51</v>
      </c>
      <c r="M1899" s="3">
        <v>2.28</v>
      </c>
    </row>
    <row r="1900" spans="1:13">
      <c r="A1900" s="8" t="s">
        <v>1911</v>
      </c>
      <c r="B1900" s="2">
        <f>HYPERLINK("https://www.suredividend.com/sure-analysis-research-database/","WORTHINGTON ENTERPRISES, INC.")</f>
        <v>0</v>
      </c>
      <c r="C1900" s="1" t="s">
        <v>1970</v>
      </c>
      <c r="D1900" s="3">
        <v>53.785</v>
      </c>
      <c r="E1900" s="4">
        <v>0.01</v>
      </c>
      <c r="F1900" s="4">
        <v>0.01417</v>
      </c>
      <c r="G1900" s="3">
        <v>0.72</v>
      </c>
      <c r="H1900" s="5">
        <v>2666.101524</v>
      </c>
      <c r="I1900" s="6">
        <v>25.1481</v>
      </c>
      <c r="J1900" s="4">
        <v>0.334122</v>
      </c>
      <c r="K1900" s="7">
        <v>1.0227</v>
      </c>
      <c r="L1900" s="3">
        <v>70.47</v>
      </c>
      <c r="M1900" s="3">
        <v>38.7</v>
      </c>
    </row>
    <row r="1901" spans="1:13">
      <c r="A1901" s="8" t="s">
        <v>1912</v>
      </c>
      <c r="B1901" s="2">
        <f>HYPERLINK("https://www.suredividend.com/sure-analysis-research-database/","WideOpenWest, Inc.")</f>
        <v>0</v>
      </c>
      <c r="C1901" s="1" t="s">
        <v>1968</v>
      </c>
      <c r="D1901" s="3">
        <v>5.23</v>
      </c>
      <c r="F1901" s="4">
        <v>0</v>
      </c>
      <c r="G1901" s="3">
        <v>0</v>
      </c>
      <c r="H1901" s="5">
        <v>445.659568</v>
      </c>
      <c r="J1901" s="4">
        <v>0</v>
      </c>
      <c r="K1901" s="7">
        <v>0.8814</v>
      </c>
    </row>
    <row r="1902" spans="1:13">
      <c r="A1902" s="8" t="s">
        <v>1913</v>
      </c>
      <c r="B1902" s="2">
        <f>HYPERLINK("https://www.suredividend.com/sure-analysis-research-database/","Warby Parker Inc.")</f>
        <v>0</v>
      </c>
      <c r="C1902" s="1" t="s">
        <v>1959</v>
      </c>
      <c r="D1902" s="3">
        <v>26.62</v>
      </c>
      <c r="F1902" s="4">
        <v>0</v>
      </c>
      <c r="G1902" s="3">
        <v>0</v>
      </c>
      <c r="H1902" s="5">
        <v>3228.816008</v>
      </c>
      <c r="I1902" s="6">
        <v>2842.2676</v>
      </c>
      <c r="J1902" s="4">
        <v>0</v>
      </c>
      <c r="K1902" s="7">
        <v>1.3821</v>
      </c>
      <c r="L1902" s="3">
        <v>31</v>
      </c>
      <c r="M1902" s="3">
        <v>13.63</v>
      </c>
    </row>
    <row r="1903" spans="1:13">
      <c r="A1903" s="8" t="s">
        <v>1914</v>
      </c>
      <c r="B1903" s="2">
        <f>HYPERLINK("https://www.suredividend.com/sure-analysis-research-database/","WORLD ACCEPTANCE CORP")</f>
        <v>0</v>
      </c>
      <c r="C1903" s="1" t="s">
        <v>1962</v>
      </c>
      <c r="D1903" s="3">
        <v>138.77</v>
      </c>
      <c r="F1903" s="4">
        <v>0</v>
      </c>
      <c r="G1903" s="3">
        <v>0</v>
      </c>
      <c r="H1903" s="5">
        <v>699.234707</v>
      </c>
      <c r="I1903" s="6">
        <v>12.2536</v>
      </c>
      <c r="J1903" s="4">
        <v>0</v>
      </c>
      <c r="K1903" s="7">
        <v>1.6114</v>
      </c>
      <c r="L1903" s="3">
        <v>185.48</v>
      </c>
      <c r="M1903" s="3">
        <v>104.99</v>
      </c>
    </row>
    <row r="1904" spans="1:13">
      <c r="A1904" s="8" t="s">
        <v>1915</v>
      </c>
      <c r="B1904" s="2">
        <f>HYPERLINK("https://www.suredividend.com/sure-analysis-research-database/","Worthington Steel, Inc.")</f>
        <v>0</v>
      </c>
      <c r="C1904" s="1" t="s">
        <v>1959</v>
      </c>
      <c r="D1904" s="3">
        <v>41</v>
      </c>
      <c r="E1904" s="4">
        <v>0.02</v>
      </c>
      <c r="F1904" s="4">
        <v>0.00724</v>
      </c>
      <c r="G1904" s="3">
        <v>0.64</v>
      </c>
      <c r="H1904" s="5">
        <v>2034.765682</v>
      </c>
      <c r="I1904" s="6">
        <v>16.3304</v>
      </c>
      <c r="J1904" s="4">
        <v>0.339436</v>
      </c>
      <c r="K1904" s="7">
        <v>1.416</v>
      </c>
      <c r="L1904" s="3">
        <v>44</v>
      </c>
      <c r="M1904" s="3">
        <v>20.97</v>
      </c>
    </row>
    <row r="1905" spans="1:13">
      <c r="A1905" s="8" t="s">
        <v>1916</v>
      </c>
      <c r="B1905" s="2">
        <f>HYPERLINK("https://www.suredividend.com/sure-analysis-WSBC/","WESBANCO INC")</f>
        <v>0</v>
      </c>
      <c r="C1905" s="1" t="s">
        <v>1962</v>
      </c>
      <c r="D1905" s="3">
        <v>35.72</v>
      </c>
      <c r="E1905" s="4">
        <v>0.0425531914893617</v>
      </c>
      <c r="F1905" s="4">
        <v>0.04088</v>
      </c>
      <c r="G1905" s="3">
        <v>1.49</v>
      </c>
      <c r="H1905" s="5">
        <v>3431.700248</v>
      </c>
      <c r="I1905" s="6">
        <v>20.0099</v>
      </c>
      <c r="J1905" s="4">
        <v>0.709655</v>
      </c>
      <c r="K1905" s="7">
        <v>0.9081</v>
      </c>
      <c r="L1905" s="3">
        <v>35.55</v>
      </c>
      <c r="M1905" s="3">
        <v>25.51</v>
      </c>
    </row>
    <row r="1906" spans="1:13">
      <c r="A1906" s="8" t="s">
        <v>1917</v>
      </c>
      <c r="B1906" s="2">
        <f>HYPERLINK("https://www.suredividend.com/sure-analysis-research-database/","Waterstone Financial, Inc.")</f>
        <v>0</v>
      </c>
      <c r="C1906" s="1" t="s">
        <v>1962</v>
      </c>
      <c r="D1906" s="3">
        <v>18.22</v>
      </c>
      <c r="E1906" s="4">
        <v>0.03</v>
      </c>
      <c r="F1906" s="4">
        <v>0.04836</v>
      </c>
      <c r="G1906" s="3">
        <v>0.6</v>
      </c>
      <c r="H1906" s="5">
        <v>321.6122</v>
      </c>
      <c r="I1906" s="6">
        <v>13.4571</v>
      </c>
      <c r="J1906" s="4">
        <v>0.455709</v>
      </c>
      <c r="K1906" s="7">
        <v>0.6904</v>
      </c>
      <c r="L1906" s="3">
        <v>17.9</v>
      </c>
      <c r="M1906" s="3">
        <v>11.27</v>
      </c>
    </row>
    <row r="1907" spans="1:13">
      <c r="A1907" s="8" t="s">
        <v>1918</v>
      </c>
      <c r="B1907" s="2">
        <f>HYPERLINK("https://www.suredividend.com/sure-analysis-research-database/","WSFS FINANCIAL CORP")</f>
        <v>0</v>
      </c>
      <c r="C1907" s="1" t="s">
        <v>1962</v>
      </c>
      <c r="D1907" s="3">
        <v>59.35</v>
      </c>
      <c r="E1907" s="4">
        <v>0.01</v>
      </c>
      <c r="F1907" s="4">
        <v>0.01037</v>
      </c>
      <c r="G1907" s="3">
        <v>0.66</v>
      </c>
      <c r="H1907" s="5">
        <v>3235.722662</v>
      </c>
      <c r="I1907" s="6">
        <v>11.6029</v>
      </c>
      <c r="J1907" s="4">
        <v>0.131796</v>
      </c>
      <c r="K1907" s="7">
        <v>1.0675</v>
      </c>
      <c r="L1907" s="3">
        <v>59.29</v>
      </c>
      <c r="M1907" s="3">
        <v>42.04</v>
      </c>
    </row>
    <row r="1908" spans="1:13">
      <c r="A1908" s="8" t="s">
        <v>1919</v>
      </c>
      <c r="B1908" s="2">
        <f>HYPERLINK("https://www.suredividend.com/sure-analysis-WSR/","Whitestone REIT")</f>
        <v>0</v>
      </c>
      <c r="C1908" s="1" t="s">
        <v>1961</v>
      </c>
      <c r="D1908" s="3">
        <v>14.27</v>
      </c>
      <c r="E1908" s="4">
        <v>0.03994393833216538</v>
      </c>
      <c r="F1908" s="4">
        <v>0.03385</v>
      </c>
      <c r="G1908" s="3">
        <v>0.54</v>
      </c>
      <c r="H1908" s="5">
        <v>727.546968</v>
      </c>
      <c r="I1908" s="6">
        <v>16.377</v>
      </c>
      <c r="J1908" s="4">
        <v>0.603165</v>
      </c>
      <c r="K1908" s="7">
        <v>0.7136</v>
      </c>
      <c r="L1908" s="3">
        <v>14.35</v>
      </c>
      <c r="M1908" s="3">
        <v>11.35</v>
      </c>
    </row>
    <row r="1909" spans="1:13">
      <c r="A1909" s="8" t="s">
        <v>1920</v>
      </c>
      <c r="B1909" s="2">
        <f>HYPERLINK("https://www.suredividend.com/sure-analysis-research-database/","WisdomTree, Inc.")</f>
        <v>0</v>
      </c>
      <c r="C1909" s="1" t="s">
        <v>1959</v>
      </c>
      <c r="D1909" s="3">
        <v>15.87</v>
      </c>
      <c r="E1909" s="4">
        <v>0.01</v>
      </c>
      <c r="F1909" s="4">
        <v>0.00878</v>
      </c>
      <c r="G1909" s="3">
        <v>0.12</v>
      </c>
      <c r="J1909" s="4">
        <v>0.181248</v>
      </c>
      <c r="K1909" s="7">
        <v>0.8832</v>
      </c>
      <c r="L1909" s="3">
        <v>15.32</v>
      </c>
      <c r="M1909" s="3">
        <v>7.41</v>
      </c>
    </row>
    <row r="1910" spans="1:13">
      <c r="A1910" s="8" t="s">
        <v>1921</v>
      </c>
      <c r="B1910" s="2">
        <f>HYPERLINK("https://www.suredividend.com/sure-analysis-research-database/","WEST BANCORPORATION INC")</f>
        <v>0</v>
      </c>
      <c r="C1910" s="1" t="s">
        <v>1962</v>
      </c>
      <c r="D1910" s="3">
        <v>23.55</v>
      </c>
      <c r="E1910" s="4">
        <v>0.04</v>
      </c>
      <c r="F1910" s="4">
        <v>0.04516</v>
      </c>
      <c r="G1910" s="3">
        <v>1</v>
      </c>
      <c r="H1910" s="5">
        <v>398.786079</v>
      </c>
      <c r="I1910" s="6">
        <v>12.3724</v>
      </c>
      <c r="J1910" s="4">
        <v>0.5239200000000001</v>
      </c>
      <c r="K1910" s="7">
        <v>0.8973</v>
      </c>
      <c r="L1910" s="3">
        <v>24.27</v>
      </c>
      <c r="M1910" s="3">
        <v>16.68</v>
      </c>
    </row>
    <row r="1911" spans="1:13">
      <c r="A1911" s="8" t="s">
        <v>1922</v>
      </c>
      <c r="B1911" s="2">
        <f>HYPERLINK("https://www.suredividend.com/sure-analysis-research-database/","W&amp;T OFFSHORE INC")</f>
        <v>0</v>
      </c>
      <c r="C1911" s="1" t="s">
        <v>1969</v>
      </c>
      <c r="D1911" s="3">
        <v>1.87</v>
      </c>
      <c r="E1911" s="4">
        <v>0.02</v>
      </c>
      <c r="F1911" s="4">
        <v>0.01169</v>
      </c>
      <c r="G1911" s="3">
        <v>0.04</v>
      </c>
      <c r="H1911" s="5">
        <v>281.188953</v>
      </c>
      <c r="K1911" s="7">
        <v>0.7621</v>
      </c>
      <c r="L1911" s="3">
        <v>2.58</v>
      </c>
      <c r="M1911" s="3">
        <v>1.07</v>
      </c>
    </row>
    <row r="1912" spans="1:13">
      <c r="A1912" s="8" t="s">
        <v>1923</v>
      </c>
      <c r="B1912" s="2">
        <f>HYPERLINK("https://www.suredividend.com/sure-analysis-WTS/","WATTS WATER TECHNOLOGIES INC")</f>
        <v>0</v>
      </c>
      <c r="C1912" s="1" t="s">
        <v>1964</v>
      </c>
      <c r="D1912" s="3">
        <v>301.1</v>
      </c>
      <c r="E1912" s="4">
        <v>0.006908003985386915</v>
      </c>
      <c r="F1912" s="4">
        <v>0.00506</v>
      </c>
      <c r="G1912" s="3">
        <v>1.99</v>
      </c>
      <c r="H1912" s="5">
        <v>10042.564513</v>
      </c>
      <c r="I1912" s="6">
        <v>30.9383</v>
      </c>
      <c r="J1912" s="4">
        <v>0.19655</v>
      </c>
      <c r="K1912" s="7">
        <v>0.9748</v>
      </c>
      <c r="L1912" s="3">
        <v>299.5</v>
      </c>
      <c r="M1912" s="3">
        <v>176.55</v>
      </c>
    </row>
    <row r="1913" spans="1:13">
      <c r="A1913" s="8" t="s">
        <v>1924</v>
      </c>
      <c r="B1913" s="2">
        <f>HYPERLINK("https://www.suredividend.com/sure-analysis-research-database/","Select Water Solutions, Inc.")</f>
        <v>0</v>
      </c>
      <c r="C1913" s="1" t="s">
        <v>1969</v>
      </c>
      <c r="D1913" s="3">
        <v>12.37</v>
      </c>
      <c r="E1913" s="4">
        <v>0.02</v>
      </c>
      <c r="F1913" s="4">
        <v>0.01407</v>
      </c>
      <c r="G1913" s="3">
        <v>0.28</v>
      </c>
      <c r="H1913" s="5">
        <v>1493.529263</v>
      </c>
      <c r="I1913" s="6">
        <v>74.9425</v>
      </c>
      <c r="J1913" s="4">
        <v>1.564303</v>
      </c>
      <c r="K1913" s="7">
        <v>1.3432</v>
      </c>
      <c r="L1913" s="3">
        <v>14.03</v>
      </c>
      <c r="M1913" s="3">
        <v>7.1</v>
      </c>
    </row>
    <row r="1914" spans="1:13">
      <c r="A1914" s="8" t="s">
        <v>1925</v>
      </c>
      <c r="B1914" s="2">
        <f>HYPERLINK("https://www.suredividend.com/sure-analysis-research-database/","TERAWULF INC.")</f>
        <v>0</v>
      </c>
      <c r="C1914" s="1" t="s">
        <v>1959</v>
      </c>
      <c r="D1914" s="3">
        <v>13.29</v>
      </c>
      <c r="F1914" s="4">
        <v>0</v>
      </c>
      <c r="G1914" s="3">
        <v>1</v>
      </c>
      <c r="H1914" s="5">
        <v>5493.106279</v>
      </c>
      <c r="J1914" s="4">
        <v>0</v>
      </c>
      <c r="K1914" s="7">
        <v>2.7525</v>
      </c>
      <c r="L1914" s="3">
        <v>17.05</v>
      </c>
      <c r="M1914" s="3">
        <v>2.06</v>
      </c>
    </row>
    <row r="1915" spans="1:13">
      <c r="A1915" s="8" t="s">
        <v>1926</v>
      </c>
      <c r="B1915" s="2">
        <f>HYPERLINK("https://www.suredividend.com/sure-analysis-research-database/","Wave Life Sciences Ltd.")</f>
        <v>0</v>
      </c>
      <c r="C1915" s="1" t="s">
        <v>1965</v>
      </c>
      <c r="D1915" s="3">
        <v>14</v>
      </c>
      <c r="F1915" s="4">
        <v>0</v>
      </c>
      <c r="G1915" s="3">
        <v>0</v>
      </c>
      <c r="H1915" s="5">
        <v>2330.514069</v>
      </c>
      <c r="J1915" s="4">
        <v>0</v>
      </c>
      <c r="K1915" s="7">
        <v>1.5712</v>
      </c>
      <c r="L1915" s="3">
        <v>21.73</v>
      </c>
      <c r="M1915" s="3">
        <v>5.28</v>
      </c>
    </row>
    <row r="1916" spans="1:13">
      <c r="A1916" s="8" t="s">
        <v>1927</v>
      </c>
      <c r="B1916" s="2">
        <f>HYPERLINK("https://www.suredividend.com/sure-analysis-research-database/","WOLVERINE WORLD WIDE INC /DE/")</f>
        <v>0</v>
      </c>
      <c r="C1916" s="1" t="s">
        <v>1963</v>
      </c>
      <c r="D1916" s="3">
        <v>19.35</v>
      </c>
      <c r="E1916" s="4">
        <v>0.02</v>
      </c>
      <c r="F1916" s="4">
        <v>0.0213</v>
      </c>
      <c r="G1916" s="3">
        <v>0.4</v>
      </c>
      <c r="H1916" s="5">
        <v>1568.865549</v>
      </c>
      <c r="I1916" s="6">
        <v>17.828</v>
      </c>
      <c r="J1916" s="4">
        <v>0.35515</v>
      </c>
      <c r="K1916" s="7">
        <v>1.669</v>
      </c>
      <c r="L1916" s="3">
        <v>32.5</v>
      </c>
      <c r="M1916" s="3">
        <v>9.44</v>
      </c>
    </row>
    <row r="1917" spans="1:13">
      <c r="A1917" s="8" t="s">
        <v>1928</v>
      </c>
      <c r="B1917" s="2">
        <f>HYPERLINK("https://www.suredividend.com/sure-analysis-research-database/","XBiotech Inc.")</f>
        <v>0</v>
      </c>
      <c r="C1917" s="1" t="s">
        <v>1965</v>
      </c>
      <c r="D1917" s="3">
        <v>2.56</v>
      </c>
      <c r="F1917" s="4">
        <v>0.16729</v>
      </c>
      <c r="G1917" s="3">
        <v>2.1</v>
      </c>
      <c r="H1917" s="5">
        <v>77.743714</v>
      </c>
      <c r="J1917" s="4">
        <v>0</v>
      </c>
      <c r="K1917" s="7">
        <v>1.2278</v>
      </c>
      <c r="L1917" s="3">
        <v>4</v>
      </c>
      <c r="M1917" s="3">
        <v>2.09</v>
      </c>
    </row>
    <row r="1918" spans="1:13">
      <c r="A1918" s="8" t="s">
        <v>1929</v>
      </c>
      <c r="B1918" s="2">
        <f>HYPERLINK("https://www.suredividend.com/sure-analysis-research-database/","Xeris Biopharma Holdings, Inc.")</f>
        <v>0</v>
      </c>
      <c r="C1918" s="1" t="s">
        <v>1965</v>
      </c>
      <c r="D1918" s="3">
        <v>7.62</v>
      </c>
      <c r="F1918" s="4">
        <v>0</v>
      </c>
      <c r="G1918" s="3">
        <v>0</v>
      </c>
      <c r="H1918" s="5">
        <v>1264.343082</v>
      </c>
      <c r="J1918" s="4">
        <v>0</v>
      </c>
      <c r="K1918" s="7">
        <v>1.5253</v>
      </c>
      <c r="L1918" s="3">
        <v>10.08</v>
      </c>
      <c r="M1918" s="3">
        <v>3.21</v>
      </c>
    </row>
    <row r="1919" spans="1:13">
      <c r="A1919" s="8" t="s">
        <v>1930</v>
      </c>
      <c r="B1919" s="2">
        <f>HYPERLINK("https://www.suredividend.com/sure-analysis-research-database/","X4 Pharmaceuticals, Inc")</f>
        <v>0</v>
      </c>
      <c r="C1919" s="1" t="s">
        <v>1965</v>
      </c>
      <c r="D1919" s="3">
        <v>3.75</v>
      </c>
      <c r="F1919" s="4">
        <v>0</v>
      </c>
      <c r="G1919" s="3">
        <v>0</v>
      </c>
      <c r="H1919" s="5">
        <v>327.88758</v>
      </c>
      <c r="J1919" s="4">
        <v>0</v>
      </c>
      <c r="K1919" s="7">
        <v>1.7176</v>
      </c>
      <c r="L1919" s="3">
        <v>24.43</v>
      </c>
      <c r="M1919" s="3">
        <v>1.35</v>
      </c>
    </row>
    <row r="1920" spans="1:13">
      <c r="A1920" s="8" t="s">
        <v>1931</v>
      </c>
      <c r="B1920" s="2">
        <f>HYPERLINK("https://www.suredividend.com/sure-analysis-research-database/","Xenia Hotels &amp; Resorts, Inc.")</f>
        <v>0</v>
      </c>
      <c r="C1920" s="1" t="s">
        <v>1961</v>
      </c>
      <c r="D1920" s="3">
        <v>15.2</v>
      </c>
      <c r="E1920" s="4">
        <v>0.04</v>
      </c>
      <c r="F1920" s="4">
        <v>0.02219</v>
      </c>
      <c r="G1920" s="3">
        <v>0.5600000000000001</v>
      </c>
      <c r="H1920" s="5">
        <v>1442.943485</v>
      </c>
      <c r="I1920" s="6">
        <v>25.5995</v>
      </c>
      <c r="J1920" s="4">
        <v>0.009638000000000001</v>
      </c>
      <c r="K1920" s="7">
        <v>1.1634</v>
      </c>
      <c r="L1920" s="3">
        <v>15.3</v>
      </c>
      <c r="M1920" s="3">
        <v>8.289999999999999</v>
      </c>
    </row>
    <row r="1921" spans="1:13">
      <c r="A1921" s="8" t="s">
        <v>1932</v>
      </c>
      <c r="B1921" s="2">
        <f>HYPERLINK("https://www.suredividend.com/sure-analysis-research-database/","Xometry, Inc.")</f>
        <v>0</v>
      </c>
      <c r="C1921" s="1" t="s">
        <v>1959</v>
      </c>
      <c r="D1921" s="3">
        <v>60.59</v>
      </c>
      <c r="F1921" s="4">
        <v>0</v>
      </c>
      <c r="G1921" s="3">
        <v>0</v>
      </c>
      <c r="H1921" s="5">
        <v>3101.508141</v>
      </c>
      <c r="J1921" s="4">
        <v>0</v>
      </c>
      <c r="K1921" s="7">
        <v>2.2739</v>
      </c>
      <c r="L1921" s="3">
        <v>69.26000000000001</v>
      </c>
      <c r="M1921" s="3">
        <v>18.59</v>
      </c>
    </row>
    <row r="1922" spans="1:13">
      <c r="A1922" s="8" t="s">
        <v>1933</v>
      </c>
      <c r="B1922" s="2">
        <f>HYPERLINK("https://www.suredividend.com/sure-analysis-research-database/","Xencor Inc")</f>
        <v>0</v>
      </c>
      <c r="C1922" s="1" t="s">
        <v>1965</v>
      </c>
      <c r="D1922" s="3">
        <v>12.98</v>
      </c>
      <c r="F1922" s="4">
        <v>0</v>
      </c>
      <c r="G1922" s="3">
        <v>0</v>
      </c>
      <c r="H1922" s="5">
        <v>928.336097</v>
      </c>
      <c r="J1922" s="4">
        <v>0</v>
      </c>
      <c r="K1922" s="7">
        <v>1.7265</v>
      </c>
      <c r="L1922" s="3">
        <v>21</v>
      </c>
      <c r="M1922" s="3">
        <v>6.92</v>
      </c>
    </row>
    <row r="1923" spans="1:13">
      <c r="A1923" s="8" t="s">
        <v>1934</v>
      </c>
      <c r="B1923" s="2">
        <f>HYPERLINK("https://www.suredividend.com/sure-analysis-research-database/","XOMA Royalty Corp")</f>
        <v>0</v>
      </c>
      <c r="C1923" s="1" t="s">
        <v>1965</v>
      </c>
      <c r="D1923" s="3">
        <v>27.22</v>
      </c>
      <c r="F1923" s="4">
        <v>0</v>
      </c>
      <c r="G1923" s="3">
        <v>0</v>
      </c>
      <c r="H1923" s="5">
        <v>337.687219</v>
      </c>
      <c r="K1923" s="7">
        <v>0.8647</v>
      </c>
      <c r="L1923" s="3">
        <v>39.92</v>
      </c>
      <c r="M1923" s="3">
        <v>18.35</v>
      </c>
    </row>
    <row r="1924" spans="1:13">
      <c r="A1924" s="8" t="s">
        <v>1935</v>
      </c>
      <c r="B1924" s="2">
        <f>HYPERLINK("https://www.suredividend.com/sure-analysis-research-database/","XPEL, Inc.")</f>
        <v>0</v>
      </c>
      <c r="C1924" s="1" t="s">
        <v>1963</v>
      </c>
      <c r="D1924" s="3">
        <v>55.02</v>
      </c>
      <c r="F1924" s="4">
        <v>0</v>
      </c>
      <c r="G1924" s="3">
        <v>0</v>
      </c>
      <c r="H1924" s="5">
        <v>1520.939125</v>
      </c>
      <c r="I1924" s="6">
        <v>32.5585</v>
      </c>
      <c r="J1924" s="4">
        <v>0</v>
      </c>
      <c r="K1924" s="7">
        <v>0.8526</v>
      </c>
      <c r="L1924" s="3">
        <v>55.35</v>
      </c>
      <c r="M1924" s="3">
        <v>24.25</v>
      </c>
    </row>
    <row r="1925" spans="1:13">
      <c r="A1925" s="8" t="s">
        <v>1936</v>
      </c>
      <c r="B1925" s="2">
        <f>HYPERLINK("https://www.suredividend.com/sure-analysis-research-database/","Xperi Inc.")</f>
        <v>0</v>
      </c>
      <c r="C1925" s="1" t="s">
        <v>1960</v>
      </c>
      <c r="D1925" s="3">
        <v>6.095</v>
      </c>
      <c r="F1925" s="4">
        <v>0.00485</v>
      </c>
      <c r="G1925" s="3">
        <v>0.2</v>
      </c>
      <c r="H1925" s="5">
        <v>255.923919</v>
      </c>
      <c r="I1925" s="6">
        <v>36.7601</v>
      </c>
      <c r="J1925" s="4">
        <v>0</v>
      </c>
      <c r="K1925" s="7">
        <v>1.1634</v>
      </c>
      <c r="L1925" s="3">
        <v>9.59</v>
      </c>
      <c r="M1925" s="3">
        <v>5.4</v>
      </c>
    </row>
    <row r="1926" spans="1:13">
      <c r="A1926" s="8" t="s">
        <v>1937</v>
      </c>
      <c r="B1926" s="2">
        <f>HYPERLINK("https://www.suredividend.com/sure-analysis-research-database/","Xponential Fitness, Inc.")</f>
        <v>0</v>
      </c>
      <c r="C1926" s="1" t="s">
        <v>1959</v>
      </c>
      <c r="D1926" s="3">
        <v>7.95</v>
      </c>
      <c r="F1926" s="4">
        <v>0</v>
      </c>
      <c r="G1926" s="3">
        <v>0</v>
      </c>
      <c r="H1926" s="5">
        <v>388.32158</v>
      </c>
      <c r="K1926" s="7">
        <v>1.4888</v>
      </c>
      <c r="L1926" s="3">
        <v>18.87</v>
      </c>
      <c r="M1926" s="3">
        <v>5.38</v>
      </c>
    </row>
    <row r="1927" spans="1:13">
      <c r="A1927" s="8" t="s">
        <v>1938</v>
      </c>
      <c r="B1927" s="2">
        <f>HYPERLINK("https://www.suredividend.com/sure-analysis-research-database/","EXPRO GROUP HOLDINGS N.V.")</f>
        <v>0</v>
      </c>
      <c r="C1927" s="1" t="s">
        <v>1959</v>
      </c>
      <c r="D1927" s="3">
        <v>16.09</v>
      </c>
      <c r="F1927" s="4">
        <v>0</v>
      </c>
      <c r="G1927" s="3">
        <v>1.8</v>
      </c>
      <c r="H1927" s="5">
        <v>1827.187174</v>
      </c>
      <c r="I1927" s="6">
        <v>26.5009</v>
      </c>
      <c r="J1927" s="4">
        <v>0</v>
      </c>
      <c r="K1927" s="7">
        <v>1.0192</v>
      </c>
      <c r="L1927" s="3">
        <v>16.78</v>
      </c>
      <c r="M1927" s="3">
        <v>6.7</v>
      </c>
    </row>
    <row r="1928" spans="1:13">
      <c r="A1928" s="8" t="s">
        <v>1939</v>
      </c>
      <c r="B1928" s="2">
        <f>HYPERLINK("https://www.suredividend.com/sure-analysis-research-database/","Xerox Holdings Corp")</f>
        <v>0</v>
      </c>
      <c r="C1928" s="1" t="s">
        <v>1960</v>
      </c>
      <c r="D1928" s="3">
        <v>2.29</v>
      </c>
      <c r="E1928" s="4">
        <v>0.09</v>
      </c>
      <c r="F1928" s="4">
        <v>0.32685</v>
      </c>
      <c r="G1928" s="3">
        <v>0.2</v>
      </c>
      <c r="H1928" s="5">
        <v>288.090025</v>
      </c>
      <c r="K1928" s="7">
        <v>1.8847</v>
      </c>
      <c r="L1928" s="3">
        <v>9.460000000000001</v>
      </c>
      <c r="M1928" s="3">
        <v>2.3</v>
      </c>
    </row>
    <row r="1929" spans="1:13">
      <c r="A1929" s="8" t="s">
        <v>1940</v>
      </c>
      <c r="B1929" s="2">
        <f>HYPERLINK("https://www.suredividend.com/sure-analysis-research-database/","YELP INC")</f>
        <v>0</v>
      </c>
      <c r="C1929" s="1" t="s">
        <v>1968</v>
      </c>
      <c r="D1929" s="3">
        <v>28.49</v>
      </c>
      <c r="F1929" s="4">
        <v>0</v>
      </c>
      <c r="G1929" s="3">
        <v>0</v>
      </c>
      <c r="H1929" s="5">
        <v>1751.906767</v>
      </c>
      <c r="I1929" s="6">
        <v>11.6775</v>
      </c>
      <c r="J1929" s="4">
        <v>0</v>
      </c>
      <c r="K1929" s="7">
        <v>0.7222</v>
      </c>
      <c r="L1929" s="3">
        <v>41.72</v>
      </c>
      <c r="M1929" s="3">
        <v>27.29</v>
      </c>
    </row>
    <row r="1930" spans="1:13">
      <c r="A1930" s="8" t="s">
        <v>1941</v>
      </c>
      <c r="B1930" s="2">
        <f>HYPERLINK("https://www.suredividend.com/sure-analysis-research-database/","Yext, Inc.")</f>
        <v>0</v>
      </c>
      <c r="C1930" s="1" t="s">
        <v>1960</v>
      </c>
      <c r="D1930" s="3">
        <v>7.71</v>
      </c>
      <c r="F1930" s="4">
        <v>0</v>
      </c>
      <c r="G1930" s="3">
        <v>0</v>
      </c>
      <c r="H1930" s="5">
        <v>946.680417</v>
      </c>
      <c r="I1930" s="6">
        <v>35.8836</v>
      </c>
      <c r="J1930" s="4">
        <v>0</v>
      </c>
      <c r="K1930" s="7">
        <v>1.021</v>
      </c>
      <c r="L1930" s="3">
        <v>9.199999999999999</v>
      </c>
      <c r="M1930" s="3">
        <v>5.51</v>
      </c>
    </row>
    <row r="1931" spans="1:13">
      <c r="A1931" s="8" t="s">
        <v>1942</v>
      </c>
      <c r="B1931" s="2">
        <f>HYPERLINK("https://www.suredividend.com/sure-analysis-research-database/","Y-mAbs Therapeutics, Inc.")</f>
        <v>0</v>
      </c>
      <c r="C1931" s="1" t="s">
        <v>1965</v>
      </c>
      <c r="D1931" s="3">
        <v>8.6</v>
      </c>
      <c r="F1931" s="4">
        <v>0</v>
      </c>
      <c r="G1931" s="3">
        <v>0</v>
      </c>
      <c r="H1931" s="5">
        <v>391.224796</v>
      </c>
      <c r="J1931" s="4">
        <v>0</v>
      </c>
      <c r="K1931" s="7">
        <v>1.8474</v>
      </c>
    </row>
    <row r="1932" spans="1:13">
      <c r="A1932" s="8" t="s">
        <v>1943</v>
      </c>
      <c r="B1932" s="2">
        <f>HYPERLINK("https://www.suredividend.com/sure-analysis-YORW/","YORK WATER CO")</f>
        <v>0</v>
      </c>
      <c r="C1932" s="1" t="s">
        <v>1967</v>
      </c>
      <c r="D1932" s="3">
        <v>33.59</v>
      </c>
      <c r="E1932" s="4">
        <v>0.02709139624888359</v>
      </c>
      <c r="F1932" s="4">
        <v>0.02591</v>
      </c>
      <c r="G1932" s="3">
        <v>0.89</v>
      </c>
      <c r="H1932" s="5">
        <v>485.582635</v>
      </c>
      <c r="I1932" s="6">
        <v>24.2391</v>
      </c>
      <c r="J1932" s="4">
        <v>0.623721</v>
      </c>
      <c r="K1932" s="7">
        <v>0.1986</v>
      </c>
      <c r="L1932" s="3">
        <v>35.71</v>
      </c>
      <c r="M1932" s="3">
        <v>29.03</v>
      </c>
    </row>
    <row r="1933" spans="1:13">
      <c r="A1933" s="8" t="s">
        <v>1944</v>
      </c>
      <c r="B1933" s="2">
        <f>HYPERLINK("https://www.suredividend.com/sure-analysis-research-database/","Clear Secure, Inc.")</f>
        <v>0</v>
      </c>
      <c r="C1933" s="1" t="s">
        <v>1959</v>
      </c>
      <c r="D1933" s="3">
        <v>34.6</v>
      </c>
      <c r="E1933" s="4">
        <v>0.02</v>
      </c>
      <c r="F1933" s="4">
        <v>0.01177</v>
      </c>
      <c r="G1933" s="3">
        <v>0.77</v>
      </c>
      <c r="H1933" s="5">
        <v>4595.362022</v>
      </c>
      <c r="I1933" s="6">
        <v>25.292</v>
      </c>
      <c r="J1933" s="4">
        <v>0.267146</v>
      </c>
      <c r="K1933" s="7">
        <v>0.5639</v>
      </c>
      <c r="L1933" s="3">
        <v>42.29</v>
      </c>
      <c r="M1933" s="3">
        <v>21.09</v>
      </c>
    </row>
    <row r="1934" spans="1:13">
      <c r="A1934" s="8" t="s">
        <v>1945</v>
      </c>
      <c r="B1934" s="2">
        <f>HYPERLINK("https://www.suredividend.com/sure-analysis-research-database/","Zenas BioPharma, Inc.")</f>
        <v>0</v>
      </c>
      <c r="C1934" s="1" t="s">
        <v>1959</v>
      </c>
      <c r="D1934" s="3">
        <v>19.65</v>
      </c>
      <c r="F1934" s="4">
        <v>0</v>
      </c>
      <c r="G1934" s="3">
        <v>0</v>
      </c>
      <c r="H1934" s="5">
        <v>825.901471</v>
      </c>
      <c r="J1934" s="4">
        <v>0</v>
      </c>
      <c r="K1934" s="7">
        <v>0.7662</v>
      </c>
      <c r="L1934" s="3">
        <v>44.6</v>
      </c>
      <c r="M1934" s="3">
        <v>5.83</v>
      </c>
    </row>
    <row r="1935" spans="1:13">
      <c r="A1935" s="8" t="s">
        <v>1946</v>
      </c>
      <c r="B1935" s="2">
        <f>HYPERLINK("https://www.suredividend.com/sure-analysis-research-database/","ZIFF DAVIS, INC.")</f>
        <v>0</v>
      </c>
      <c r="C1935" s="1" t="s">
        <v>1959</v>
      </c>
      <c r="D1935" s="3">
        <v>38.72</v>
      </c>
      <c r="F1935" s="4">
        <v>0</v>
      </c>
      <c r="G1935" s="3">
        <v>1.55</v>
      </c>
      <c r="H1935" s="5">
        <v>1527.258352</v>
      </c>
      <c r="I1935" s="6">
        <v>11.8726</v>
      </c>
      <c r="J1935" s="4">
        <v>0</v>
      </c>
      <c r="K1935" s="7">
        <v>1.4589</v>
      </c>
      <c r="L1935" s="3">
        <v>56.48</v>
      </c>
      <c r="M1935" s="3">
        <v>28.55</v>
      </c>
    </row>
    <row r="1936" spans="1:13">
      <c r="A1936" s="8" t="s">
        <v>1947</v>
      </c>
      <c r="B1936" s="2">
        <f>HYPERLINK("https://www.suredividend.com/sure-analysis-research-database/","Zeta Global Holdings Corp.")</f>
        <v>0</v>
      </c>
      <c r="C1936" s="1" t="s">
        <v>1959</v>
      </c>
      <c r="D1936" s="3">
        <v>20.83</v>
      </c>
      <c r="F1936" s="4">
        <v>0</v>
      </c>
      <c r="G1936" s="3">
        <v>0</v>
      </c>
      <c r="H1936" s="5">
        <v>9840.019629</v>
      </c>
      <c r="K1936" s="7">
        <v>2.0282</v>
      </c>
      <c r="L1936" s="3">
        <v>26.6</v>
      </c>
      <c r="M1936" s="3">
        <v>10.69</v>
      </c>
    </row>
    <row r="1937" spans="1:13">
      <c r="A1937" s="8" t="s">
        <v>1948</v>
      </c>
      <c r="B1937" s="2">
        <f>HYPERLINK("https://www.suredividend.com/sure-analysis-research-database/","OLYMPIC STEEL INC")</f>
        <v>0</v>
      </c>
      <c r="C1937" s="1" t="s">
        <v>1970</v>
      </c>
      <c r="D1937" s="3">
        <v>50.97</v>
      </c>
      <c r="E1937" s="4">
        <v>0.01</v>
      </c>
      <c r="F1937" s="4">
        <v>0.009730000000000001</v>
      </c>
      <c r="G1937" s="3">
        <v>0.64</v>
      </c>
      <c r="H1937" s="5">
        <v>571.638552</v>
      </c>
      <c r="I1937" s="6">
        <v>40.5302</v>
      </c>
      <c r="J1937" s="4">
        <v>0.510552</v>
      </c>
      <c r="K1937" s="7">
        <v>1.4084</v>
      </c>
      <c r="L1937" s="3">
        <v>50.87</v>
      </c>
      <c r="M1937" s="3">
        <v>25.95</v>
      </c>
    </row>
    <row r="1938" spans="1:13">
      <c r="A1938" s="8" t="s">
        <v>1949</v>
      </c>
      <c r="B1938" s="2">
        <f>HYPERLINK("https://www.suredividend.com/sure-analysis-research-database/","ZimVie Inc.")</f>
        <v>0</v>
      </c>
      <c r="C1938" s="1" t="s">
        <v>1959</v>
      </c>
      <c r="D1938" s="3">
        <v>19</v>
      </c>
      <c r="F1938" s="4">
        <v>0</v>
      </c>
      <c r="G1938" s="3">
        <v>0</v>
      </c>
      <c r="H1938" s="5">
        <v>535.53587</v>
      </c>
      <c r="J1938" s="4">
        <v>0</v>
      </c>
      <c r="K1938" s="7">
        <v>1.519</v>
      </c>
    </row>
    <row r="1939" spans="1:13">
      <c r="A1939" s="8" t="s">
        <v>1950</v>
      </c>
      <c r="B1939" s="2">
        <f>HYPERLINK("https://www.suredividend.com/sure-analysis-research-database/","ZIPRECRUITER, INC.")</f>
        <v>0</v>
      </c>
      <c r="C1939" s="1" t="s">
        <v>1959</v>
      </c>
      <c r="D1939" s="3">
        <v>2.75</v>
      </c>
      <c r="F1939" s="4">
        <v>0</v>
      </c>
      <c r="G1939" s="3">
        <v>0</v>
      </c>
      <c r="H1939" s="5">
        <v>233.577268</v>
      </c>
      <c r="J1939" s="4">
        <v>0</v>
      </c>
      <c r="K1939" s="7">
        <v>1.805</v>
      </c>
      <c r="L1939" s="3">
        <v>8.23</v>
      </c>
      <c r="M1939" s="3">
        <v>2.52</v>
      </c>
    </row>
    <row r="1940" spans="1:13">
      <c r="A1940" s="8" t="s">
        <v>1951</v>
      </c>
      <c r="B1940" s="2">
        <f>HYPERLINK("https://www.suredividend.com/sure-analysis-research-database/","Zentalis Pharmaceuticals, Inc.")</f>
        <v>0</v>
      </c>
      <c r="C1940" s="1" t="s">
        <v>1965</v>
      </c>
      <c r="D1940" s="3">
        <v>2.9</v>
      </c>
      <c r="F1940" s="4">
        <v>0</v>
      </c>
      <c r="G1940" s="3">
        <v>0</v>
      </c>
      <c r="H1940" s="5">
        <v>213.139798</v>
      </c>
      <c r="J1940" s="4">
        <v>0</v>
      </c>
      <c r="K1940" s="7">
        <v>2.2815</v>
      </c>
      <c r="L1940" s="3">
        <v>3.95</v>
      </c>
      <c r="M1940" s="3">
        <v>1.01</v>
      </c>
    </row>
    <row r="1941" spans="1:13">
      <c r="A1941" s="8" t="s">
        <v>1952</v>
      </c>
      <c r="B1941" s="2">
        <f>HYPERLINK("https://www.suredividend.com/sure-analysis-research-database/","Zspace Inc.")</f>
        <v>0</v>
      </c>
      <c r="C1941" s="1" t="s">
        <v>1959</v>
      </c>
      <c r="D1941" s="3">
        <v>0.537</v>
      </c>
      <c r="F1941" s="4">
        <v>0</v>
      </c>
      <c r="G1941" s="3">
        <v>0</v>
      </c>
      <c r="H1941" s="5">
        <v>12.276711</v>
      </c>
      <c r="K1941" s="7">
        <v>1.2864</v>
      </c>
      <c r="L1941" s="3">
        <v>26.79</v>
      </c>
      <c r="M1941" s="3">
        <v>0.36</v>
      </c>
    </row>
    <row r="1942" spans="1:13">
      <c r="A1942" s="8" t="s">
        <v>1953</v>
      </c>
      <c r="B1942" s="2">
        <f>HYPERLINK("https://www.suredividend.com/sure-analysis-research-database/","Zumiez Inc")</f>
        <v>0</v>
      </c>
      <c r="C1942" s="1" t="s">
        <v>1963</v>
      </c>
      <c r="D1942" s="3">
        <v>25.26</v>
      </c>
      <c r="F1942" s="4">
        <v>0</v>
      </c>
      <c r="G1942" s="3">
        <v>0</v>
      </c>
      <c r="H1942" s="5">
        <v>428.315836</v>
      </c>
      <c r="I1942" s="6">
        <v>49.9028</v>
      </c>
      <c r="J1942" s="4">
        <v>0</v>
      </c>
      <c r="K1942" s="7">
        <v>0.9591</v>
      </c>
      <c r="L1942" s="3">
        <v>31.7</v>
      </c>
      <c r="M1942" s="3">
        <v>11.31</v>
      </c>
    </row>
    <row r="1943" spans="1:13">
      <c r="A1943" s="8" t="s">
        <v>1954</v>
      </c>
      <c r="B1943" s="2">
        <f>HYPERLINK("https://www.suredividend.com/sure-analysis-research-database/","Zura Bio Ltd")</f>
        <v>0</v>
      </c>
      <c r="C1943" s="1" t="s">
        <v>1959</v>
      </c>
      <c r="D1943" s="3">
        <v>6.24</v>
      </c>
      <c r="F1943" s="4">
        <v>0</v>
      </c>
      <c r="G1943" s="3">
        <v>0</v>
      </c>
      <c r="H1943" s="5">
        <v>75.84</v>
      </c>
      <c r="J1943" s="4">
        <v>0</v>
      </c>
      <c r="K1943" s="7">
        <v>1.331</v>
      </c>
      <c r="L1943" s="3">
        <v>6.41</v>
      </c>
      <c r="M1943" s="3">
        <v>0.97</v>
      </c>
    </row>
    <row r="1944" spans="1:13">
      <c r="A1944" s="8" t="s">
        <v>1955</v>
      </c>
      <c r="B1944" s="2">
        <f>HYPERLINK("https://www.suredividend.com/sure-analysis-research-database/","ZEVRA THERAPEUTICS, INC.")</f>
        <v>0</v>
      </c>
      <c r="C1944" s="1" t="s">
        <v>1959</v>
      </c>
      <c r="D1944" s="3">
        <v>9.01</v>
      </c>
      <c r="F1944" s="4">
        <v>0</v>
      </c>
      <c r="G1944" s="3">
        <v>0</v>
      </c>
      <c r="H1944" s="5">
        <v>508.366741</v>
      </c>
      <c r="I1944" s="6">
        <v>14.3911</v>
      </c>
      <c r="J1944" s="4">
        <v>0</v>
      </c>
      <c r="K1944" s="7">
        <v>0.9404</v>
      </c>
      <c r="L1944" s="3">
        <v>13.16</v>
      </c>
      <c r="M1944" s="3">
        <v>6.19</v>
      </c>
    </row>
    <row r="1945" spans="1:13">
      <c r="A1945" s="8" t="s">
        <v>1956</v>
      </c>
      <c r="B1945" s="2">
        <f>HYPERLINK("https://www.suredividend.com/sure-analysis-research-database/","Zurn Elkay Water Solutions Corp")</f>
        <v>0</v>
      </c>
      <c r="C1945" s="1" t="s">
        <v>1959</v>
      </c>
      <c r="D1945" s="3">
        <v>46.77</v>
      </c>
      <c r="E1945" s="4">
        <v>0.01</v>
      </c>
      <c r="F1945" s="4">
        <v>0.00716</v>
      </c>
      <c r="G1945" s="3">
        <v>0.38</v>
      </c>
      <c r="H1945" s="5">
        <v>7830.344774</v>
      </c>
      <c r="I1945" s="6">
        <v>40.7194</v>
      </c>
      <c r="J1945" s="4">
        <v>0.315653</v>
      </c>
      <c r="K1945" s="7">
        <v>1.0547</v>
      </c>
      <c r="L1945" s="3">
        <v>49.91</v>
      </c>
      <c r="M1945" s="3">
        <v>27.55</v>
      </c>
    </row>
    <row r="1946" spans="1:13">
      <c r="A1946" s="8" t="s">
        <v>1957</v>
      </c>
      <c r="B1946" s="2">
        <f>HYPERLINK("https://www.suredividend.com/sure-analysis-research-database/","Zymeworks Inc.")</f>
        <v>0</v>
      </c>
      <c r="C1946" s="1" t="s">
        <v>1965</v>
      </c>
      <c r="D1946" s="3">
        <v>23.95</v>
      </c>
      <c r="F1946" s="4">
        <v>0</v>
      </c>
      <c r="G1946" s="3">
        <v>0</v>
      </c>
      <c r="H1946" s="5">
        <v>1508.76172</v>
      </c>
      <c r="J1946" s="4">
        <v>0</v>
      </c>
      <c r="K1946" s="7">
        <v>0.9296</v>
      </c>
      <c r="L1946" s="3">
        <v>28.49</v>
      </c>
      <c r="M1946" s="3">
        <v>9.029999999999999</v>
      </c>
    </row>
    <row r="1947" spans="1:13">
      <c r="A1947" s="8" t="s">
        <v>1958</v>
      </c>
      <c r="B1947" s="2">
        <f>HYPERLINK("https://www.suredividend.com/sure-analysis-research-database/","Zynex, Inc.")</f>
        <v>0</v>
      </c>
      <c r="C1947" s="1" t="s">
        <v>1965</v>
      </c>
      <c r="D1947" s="3">
        <v>0.07000000000000001</v>
      </c>
      <c r="F1947" s="4">
        <v>0.19474</v>
      </c>
      <c r="G1947" s="3">
        <v>0.1</v>
      </c>
      <c r="H1947" s="5">
        <v>2.127204</v>
      </c>
      <c r="J1947" s="4">
        <v>0</v>
      </c>
      <c r="K1947" s="7">
        <v>2.1568</v>
      </c>
      <c r="L1947" s="3">
        <v>8.449999999999999</v>
      </c>
      <c r="M1947" s="3">
        <v>0.06</v>
      </c>
    </row>
    <row r="1948" spans="1:13">
      <c r="A1948" s="9"/>
      <c r="B1948" s="9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</row>
    <row r="1949" spans="1:13">
      <c r="A1949" s="9"/>
      <c r="B1949" s="9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</row>
    <row r="1950" spans="1:13">
      <c r="A1950" s="9"/>
      <c r="B1950" s="9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</row>
    <row r="1951" spans="1:13">
      <c r="A1951" s="9"/>
      <c r="B1951" s="9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</row>
    <row r="1952" spans="1:13">
      <c r="A1952" s="9"/>
      <c r="B1952" s="9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</row>
    <row r="1953" spans="1:13">
      <c r="A1953" s="9"/>
      <c r="B1953" s="9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</row>
    <row r="1954" spans="1:13">
      <c r="A1954" s="9"/>
      <c r="B1954" s="9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</row>
    <row r="1955" spans="1:13">
      <c r="A1955" s="9"/>
      <c r="B1955" s="9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</row>
    <row r="1956" spans="1:13">
      <c r="A1956" s="9"/>
      <c r="B1956" s="9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</row>
    <row r="1957" spans="1:13">
      <c r="A1957" s="9"/>
      <c r="B1957" s="9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</row>
    <row r="1958" spans="1:13">
      <c r="A1958" s="9"/>
      <c r="B1958" s="9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</row>
    <row r="1959" spans="1:13">
      <c r="A1959" s="9"/>
      <c r="B1959" s="9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</row>
    <row r="1960" spans="1:13">
      <c r="A1960" s="9"/>
      <c r="B1960" s="9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</row>
    <row r="1961" spans="1:13">
      <c r="A1961" s="9"/>
      <c r="B1961" s="9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</row>
    <row r="1962" spans="1:13">
      <c r="A1962" s="9"/>
      <c r="B1962" s="9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</row>
    <row r="1963" spans="1:13">
      <c r="A1963" s="9"/>
      <c r="B1963" s="9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</row>
    <row r="1964" spans="1:13">
      <c r="A1964" s="9"/>
      <c r="B1964" s="9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</row>
    <row r="1965" spans="1:13">
      <c r="A1965" s="9"/>
      <c r="B1965" s="9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</row>
    <row r="1966" spans="1:13">
      <c r="A1966" s="9"/>
      <c r="B1966" s="9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</row>
    <row r="1967" spans="1:13">
      <c r="A1967" s="9"/>
      <c r="B1967" s="9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</row>
    <row r="1968" spans="1:13">
      <c r="A1968" s="9"/>
      <c r="B1968" s="9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</row>
    <row r="1969" spans="1:13">
      <c r="A1969" s="9"/>
      <c r="B1969" s="9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</row>
    <row r="1970" spans="1:13">
      <c r="A1970" s="9"/>
      <c r="B1970" s="9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</row>
    <row r="1971" spans="1:13">
      <c r="A1971" s="9"/>
      <c r="B1971" s="9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</row>
    <row r="1972" spans="1:13">
      <c r="A1972" s="9"/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</row>
    <row r="1973" spans="1:13">
      <c r="A1973" s="9"/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</row>
    <row r="1974" spans="1:13">
      <c r="A1974" s="9"/>
      <c r="B1974" s="9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</row>
    <row r="1975" spans="1:13">
      <c r="A1975" s="9"/>
      <c r="B1975" s="9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</row>
    <row r="1976" spans="1:13">
      <c r="A1976" s="9"/>
      <c r="B1976" s="9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</row>
    <row r="1977" spans="1:13">
      <c r="A1977" s="9"/>
      <c r="B1977" s="9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</row>
    <row r="1978" spans="1:13">
      <c r="A1978" s="9"/>
      <c r="B1978" s="9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</row>
    <row r="1979" spans="1:13">
      <c r="A1979" s="9"/>
      <c r="B1979" s="9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</row>
    <row r="1980" spans="1:13">
      <c r="A1980" s="9"/>
      <c r="B1980" s="9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</row>
    <row r="1981" spans="1:13">
      <c r="A1981" s="9"/>
      <c r="B1981" s="9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</row>
    <row r="1982" spans="1:13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</row>
    <row r="1983" spans="1:13">
      <c r="A1983" s="9"/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</row>
    <row r="1984" spans="1:13">
      <c r="A1984" s="9"/>
      <c r="B1984" s="9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</row>
    <row r="1985" spans="1:13">
      <c r="A1985" s="9"/>
      <c r="B1985" s="9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</row>
    <row r="1986" spans="1:13">
      <c r="A1986" s="9"/>
      <c r="B1986" s="9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</row>
    <row r="1987" spans="1:13">
      <c r="A1987" s="9"/>
      <c r="B1987" s="9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</row>
    <row r="1988" spans="1:13">
      <c r="A1988" s="9"/>
      <c r="B1988" s="9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</row>
    <row r="1989" spans="1:13">
      <c r="A1989" s="9"/>
      <c r="B1989" s="9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</row>
    <row r="1990" spans="1:13">
      <c r="A1990" s="9"/>
      <c r="B1990" s="9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</row>
    <row r="1991" spans="1:13">
      <c r="A1991" s="9"/>
      <c r="B1991" s="9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</row>
    <row r="1992" spans="1:13">
      <c r="A1992" s="9"/>
      <c r="B1992" s="9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</row>
    <row r="1993" spans="1:13">
      <c r="A1993" s="9"/>
      <c r="B1993" s="9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</row>
    <row r="1994" spans="1:13">
      <c r="A1994" s="9"/>
      <c r="B1994" s="9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</row>
    <row r="1995" spans="1:13">
      <c r="A1995" s="9"/>
      <c r="B1995" s="9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</row>
    <row r="1996" spans="1:13">
      <c r="A1996" s="9"/>
      <c r="B1996" s="9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</row>
    <row r="1997" spans="1:13">
      <c r="A1997" s="9"/>
      <c r="B1997" s="9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</row>
    <row r="1998" spans="1:13">
      <c r="A1998" s="9"/>
      <c r="B1998" s="9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</row>
    <row r="1999" spans="1:13">
      <c r="A1999" s="9"/>
      <c r="B1999" s="9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</row>
    <row r="2000" spans="1:13">
      <c r="A2000" s="9"/>
      <c r="B2000" s="9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</row>
    <row r="2001" spans="1:13">
      <c r="A2001" s="9"/>
      <c r="B2001" s="9"/>
      <c r="C2001" s="9"/>
      <c r="D2001" s="9"/>
      <c r="E2001" s="9"/>
      <c r="F2001" s="9"/>
      <c r="G2001" s="9"/>
      <c r="H2001" s="9"/>
      <c r="I2001" s="9"/>
      <c r="J2001" s="9"/>
      <c r="K2001" s="9"/>
      <c r="L2001" s="9"/>
      <c r="M2001" s="9"/>
    </row>
    <row r="2002" spans="1:13">
      <c r="A2002" s="9"/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9"/>
    </row>
    <row r="2003" spans="1:13">
      <c r="A2003" s="9"/>
      <c r="B2003" s="9"/>
      <c r="C2003" s="9"/>
      <c r="D2003" s="9"/>
      <c r="E2003" s="9"/>
      <c r="F2003" s="9"/>
      <c r="G2003" s="9"/>
      <c r="H2003" s="9"/>
      <c r="I2003" s="9"/>
      <c r="J2003" s="9"/>
      <c r="K2003" s="9"/>
      <c r="L2003" s="9"/>
      <c r="M2003" s="9"/>
    </row>
    <row r="2004" spans="1:13">
      <c r="A2004" s="9"/>
      <c r="B2004" s="9"/>
      <c r="C2004" s="9"/>
      <c r="D2004" s="9"/>
      <c r="E2004" s="9"/>
      <c r="F2004" s="9"/>
      <c r="G2004" s="9"/>
      <c r="H2004" s="9"/>
      <c r="I2004" s="9"/>
      <c r="J2004" s="9"/>
      <c r="K2004" s="9"/>
      <c r="L2004" s="9"/>
      <c r="M2004" s="9"/>
    </row>
    <row r="2005" spans="1:13">
      <c r="A2005" s="9"/>
      <c r="B2005" s="9"/>
      <c r="C2005" s="9"/>
      <c r="D2005" s="9"/>
      <c r="E2005" s="9"/>
      <c r="F2005" s="9"/>
      <c r="G2005" s="9"/>
      <c r="H2005" s="9"/>
      <c r="I2005" s="9"/>
      <c r="J2005" s="9"/>
      <c r="K2005" s="9"/>
      <c r="L2005" s="9"/>
      <c r="M2005" s="9"/>
    </row>
    <row r="2006" spans="1:13">
      <c r="A2006" s="9"/>
      <c r="B2006" s="9"/>
      <c r="C2006" s="9"/>
      <c r="D2006" s="9"/>
      <c r="E2006" s="9"/>
      <c r="F2006" s="9"/>
      <c r="G2006" s="9"/>
      <c r="H2006" s="9"/>
      <c r="I2006" s="9"/>
      <c r="J2006" s="9"/>
      <c r="K2006" s="9"/>
      <c r="L2006" s="9"/>
      <c r="M2006" s="9"/>
    </row>
    <row r="2007" spans="1:13">
      <c r="A2007" s="9"/>
      <c r="B2007" s="9"/>
      <c r="C2007" s="9"/>
      <c r="D2007" s="9"/>
      <c r="E2007" s="9"/>
      <c r="F2007" s="9"/>
      <c r="G2007" s="9"/>
      <c r="H2007" s="9"/>
      <c r="I2007" s="9"/>
      <c r="J2007" s="9"/>
      <c r="K2007" s="9"/>
      <c r="L2007" s="9"/>
      <c r="M2007" s="9"/>
    </row>
    <row r="2008" spans="1:13">
      <c r="A2008" s="9"/>
      <c r="B2008" s="9"/>
      <c r="C2008" s="9"/>
      <c r="D2008" s="9"/>
      <c r="E2008" s="9"/>
      <c r="F2008" s="9"/>
      <c r="G2008" s="9"/>
      <c r="H2008" s="9"/>
      <c r="I2008" s="9"/>
      <c r="J2008" s="9"/>
      <c r="K2008" s="9"/>
      <c r="L2008" s="9"/>
      <c r="M2008" s="9"/>
    </row>
    <row r="2009" spans="1:13">
      <c r="A2009" s="9"/>
      <c r="B2009" s="9"/>
      <c r="C2009" s="9"/>
      <c r="D2009" s="9"/>
      <c r="E2009" s="9"/>
      <c r="F2009" s="9"/>
      <c r="G2009" s="9"/>
      <c r="H2009" s="9"/>
      <c r="I2009" s="9"/>
      <c r="J2009" s="9"/>
      <c r="K2009" s="9"/>
      <c r="L2009" s="9"/>
      <c r="M2009" s="9"/>
    </row>
    <row r="2010" spans="1:13">
      <c r="A2010" s="9"/>
      <c r="B2010" s="9"/>
      <c r="C2010" s="9"/>
      <c r="D2010" s="9"/>
      <c r="E2010" s="9"/>
      <c r="F2010" s="9"/>
      <c r="G2010" s="9"/>
      <c r="H2010" s="9"/>
      <c r="I2010" s="9"/>
      <c r="J2010" s="9"/>
      <c r="K2010" s="9"/>
      <c r="L2010" s="9"/>
      <c r="M2010" s="9"/>
    </row>
    <row r="2011" spans="1:13">
      <c r="A2011" s="9"/>
      <c r="B2011" s="9"/>
      <c r="C2011" s="9"/>
      <c r="D2011" s="9"/>
      <c r="E2011" s="9"/>
      <c r="F2011" s="9"/>
      <c r="G2011" s="9"/>
      <c r="H2011" s="9"/>
      <c r="I2011" s="9"/>
      <c r="J2011" s="9"/>
      <c r="K2011" s="9"/>
      <c r="L2011" s="9"/>
      <c r="M2011" s="9"/>
    </row>
    <row r="2012" spans="1:13">
      <c r="A2012" s="9"/>
      <c r="B2012" s="9"/>
      <c r="C2012" s="9"/>
      <c r="D2012" s="9"/>
      <c r="E2012" s="9"/>
      <c r="F2012" s="9"/>
      <c r="G2012" s="9"/>
      <c r="H2012" s="9"/>
      <c r="I2012" s="9"/>
      <c r="J2012" s="9"/>
      <c r="K2012" s="9"/>
      <c r="L2012" s="9"/>
      <c r="M2012" s="9"/>
    </row>
    <row r="2013" spans="1:13">
      <c r="A2013" s="9"/>
      <c r="B2013" s="9"/>
      <c r="C2013" s="9"/>
      <c r="D2013" s="9"/>
      <c r="E2013" s="9"/>
      <c r="F2013" s="9"/>
      <c r="G2013" s="9"/>
      <c r="H2013" s="9"/>
      <c r="I2013" s="9"/>
      <c r="J2013" s="9"/>
      <c r="K2013" s="9"/>
      <c r="L2013" s="9"/>
      <c r="M2013" s="9"/>
    </row>
    <row r="2014" spans="1:13">
      <c r="A2014" s="9"/>
      <c r="B2014" s="9"/>
      <c r="C2014" s="9"/>
      <c r="D2014" s="9"/>
      <c r="E2014" s="9"/>
      <c r="F2014" s="9"/>
      <c r="G2014" s="9"/>
      <c r="H2014" s="9"/>
      <c r="I2014" s="9"/>
      <c r="J2014" s="9"/>
      <c r="K2014" s="9"/>
      <c r="L2014" s="9"/>
      <c r="M2014" s="9"/>
    </row>
    <row r="2015" spans="1:13">
      <c r="A2015" s="9"/>
      <c r="B2015" s="9"/>
      <c r="C2015" s="9"/>
      <c r="D2015" s="9"/>
      <c r="E2015" s="9"/>
      <c r="F2015" s="9"/>
      <c r="G2015" s="9"/>
      <c r="H2015" s="9"/>
      <c r="I2015" s="9"/>
      <c r="J2015" s="9"/>
      <c r="K2015" s="9"/>
      <c r="L2015" s="9"/>
      <c r="M2015" s="9"/>
    </row>
    <row r="2016" spans="1:13">
      <c r="A2016" s="9"/>
      <c r="B2016" s="9"/>
      <c r="C2016" s="9"/>
      <c r="D2016" s="9"/>
      <c r="E2016" s="9"/>
      <c r="F2016" s="9"/>
      <c r="G2016" s="9"/>
      <c r="H2016" s="9"/>
      <c r="I2016" s="9"/>
      <c r="J2016" s="9"/>
      <c r="K2016" s="9"/>
      <c r="L2016" s="9"/>
      <c r="M2016" s="9"/>
    </row>
    <row r="2017" spans="1:13">
      <c r="A2017" s="9"/>
      <c r="B2017" s="9"/>
      <c r="C2017" s="9"/>
      <c r="D2017" s="9"/>
      <c r="E2017" s="9"/>
      <c r="F2017" s="9"/>
      <c r="G2017" s="9"/>
      <c r="H2017" s="9"/>
      <c r="I2017" s="9"/>
      <c r="J2017" s="9"/>
      <c r="K2017" s="9"/>
      <c r="L2017" s="9"/>
      <c r="M2017" s="9"/>
    </row>
    <row r="2018" spans="1:13">
      <c r="A2018" s="9"/>
      <c r="B2018" s="9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</row>
    <row r="2019" spans="1:13">
      <c r="A2019" s="9"/>
      <c r="B2019" s="9"/>
      <c r="C2019" s="9"/>
      <c r="D2019" s="9"/>
      <c r="E2019" s="9"/>
      <c r="F2019" s="9"/>
      <c r="G2019" s="9"/>
      <c r="H2019" s="9"/>
      <c r="I2019" s="9"/>
      <c r="J2019" s="9"/>
      <c r="K2019" s="9"/>
      <c r="L2019" s="9"/>
      <c r="M2019" s="9"/>
    </row>
    <row r="2020" spans="1:13">
      <c r="A2020" s="9"/>
      <c r="B2020" s="9"/>
      <c r="C2020" s="9"/>
      <c r="D2020" s="9"/>
      <c r="E2020" s="9"/>
      <c r="F2020" s="9"/>
      <c r="G2020" s="9"/>
      <c r="H2020" s="9"/>
      <c r="I2020" s="9"/>
      <c r="J2020" s="9"/>
      <c r="K2020" s="9"/>
      <c r="L2020" s="9"/>
      <c r="M2020" s="9"/>
    </row>
    <row r="2021" spans="1:13">
      <c r="A2021" s="9"/>
      <c r="B2021" s="9"/>
      <c r="C2021" s="9"/>
      <c r="D2021" s="9"/>
      <c r="E2021" s="9"/>
      <c r="F2021" s="9"/>
      <c r="G2021" s="9"/>
      <c r="H2021" s="9"/>
      <c r="I2021" s="9"/>
      <c r="J2021" s="9"/>
      <c r="K2021" s="9"/>
      <c r="L2021" s="9"/>
      <c r="M2021" s="9"/>
    </row>
    <row r="2022" spans="1:13">
      <c r="A2022" s="9"/>
      <c r="B2022" s="9"/>
      <c r="C2022" s="9"/>
      <c r="D2022" s="9"/>
      <c r="E2022" s="9"/>
      <c r="F2022" s="9"/>
      <c r="G2022" s="9"/>
      <c r="H2022" s="9"/>
      <c r="I2022" s="9"/>
      <c r="J2022" s="9"/>
      <c r="K2022" s="9"/>
      <c r="L2022" s="9"/>
      <c r="M2022" s="9"/>
    </row>
    <row r="2023" spans="1:13">
      <c r="A2023" s="9"/>
      <c r="B2023" s="9"/>
      <c r="C2023" s="9"/>
      <c r="D2023" s="9"/>
      <c r="E2023" s="9"/>
      <c r="F2023" s="9"/>
      <c r="G2023" s="9"/>
      <c r="H2023" s="9"/>
      <c r="I2023" s="9"/>
      <c r="J2023" s="9"/>
      <c r="K2023" s="9"/>
      <c r="L2023" s="9"/>
      <c r="M2023" s="9"/>
    </row>
    <row r="2024" spans="1:13">
      <c r="A2024" s="9"/>
      <c r="B2024" s="9"/>
      <c r="C2024" s="9"/>
      <c r="D2024" s="9"/>
      <c r="E2024" s="9"/>
      <c r="F2024" s="9"/>
      <c r="G2024" s="9"/>
      <c r="H2024" s="9"/>
      <c r="I2024" s="9"/>
      <c r="J2024" s="9"/>
      <c r="K2024" s="9"/>
      <c r="L2024" s="9"/>
      <c r="M2024" s="9"/>
    </row>
    <row r="2025" spans="1:13">
      <c r="A2025" s="9"/>
      <c r="B2025" s="9"/>
      <c r="C2025" s="9"/>
      <c r="D2025" s="9"/>
      <c r="E2025" s="9"/>
      <c r="F2025" s="9"/>
      <c r="G2025" s="9"/>
      <c r="H2025" s="9"/>
      <c r="I2025" s="9"/>
      <c r="J2025" s="9"/>
      <c r="K2025" s="9"/>
      <c r="L2025" s="9"/>
      <c r="M2025" s="9"/>
    </row>
    <row r="2026" spans="1:13">
      <c r="A2026" s="9"/>
      <c r="B2026" s="9"/>
      <c r="C2026" s="9"/>
      <c r="D2026" s="9"/>
      <c r="E2026" s="9"/>
      <c r="F2026" s="9"/>
      <c r="G2026" s="9"/>
      <c r="H2026" s="9"/>
      <c r="I2026" s="9"/>
      <c r="J2026" s="9"/>
      <c r="K2026" s="9"/>
      <c r="L2026" s="9"/>
      <c r="M2026" s="9"/>
    </row>
    <row r="2027" spans="1:13">
      <c r="A2027" s="9"/>
      <c r="B2027" s="9"/>
      <c r="C2027" s="9"/>
      <c r="D2027" s="9"/>
      <c r="E2027" s="9"/>
      <c r="F2027" s="9"/>
      <c r="G2027" s="9"/>
      <c r="H2027" s="9"/>
      <c r="I2027" s="9"/>
      <c r="J2027" s="9"/>
      <c r="K2027" s="9"/>
      <c r="L2027" s="9"/>
      <c r="M2027" s="9"/>
    </row>
    <row r="2028" spans="1:13">
      <c r="A2028" s="9"/>
      <c r="B2028" s="9"/>
      <c r="C2028" s="9"/>
      <c r="D2028" s="9"/>
      <c r="E2028" s="9"/>
      <c r="F2028" s="9"/>
      <c r="G2028" s="9"/>
      <c r="H2028" s="9"/>
      <c r="I2028" s="9"/>
      <c r="J2028" s="9"/>
      <c r="K2028" s="9"/>
      <c r="L2028" s="9"/>
      <c r="M2028" s="9"/>
    </row>
    <row r="2029" spans="1:13">
      <c r="A2029" s="9"/>
      <c r="B2029" s="9"/>
      <c r="C2029" s="9"/>
      <c r="D2029" s="9"/>
      <c r="E2029" s="9"/>
      <c r="F2029" s="9"/>
      <c r="G2029" s="9"/>
      <c r="H2029" s="9"/>
      <c r="I2029" s="9"/>
      <c r="J2029" s="9"/>
      <c r="K2029" s="9"/>
      <c r="L2029" s="9"/>
      <c r="M2029" s="9"/>
    </row>
    <row r="2030" spans="1:13">
      <c r="A2030" s="9"/>
      <c r="B2030" s="9"/>
      <c r="C2030" s="9"/>
      <c r="D2030" s="9"/>
      <c r="E2030" s="9"/>
      <c r="F2030" s="9"/>
      <c r="G2030" s="9"/>
      <c r="H2030" s="9"/>
      <c r="I2030" s="9"/>
      <c r="J2030" s="9"/>
      <c r="K2030" s="9"/>
      <c r="L2030" s="9"/>
      <c r="M2030" s="9"/>
    </row>
    <row r="2031" spans="1:13">
      <c r="A2031" s="9"/>
      <c r="B2031" s="9"/>
      <c r="C2031" s="9"/>
      <c r="D2031" s="9"/>
      <c r="E2031" s="9"/>
      <c r="F2031" s="9"/>
      <c r="G2031" s="9"/>
      <c r="H2031" s="9"/>
      <c r="I2031" s="9"/>
      <c r="J2031" s="9"/>
      <c r="K2031" s="9"/>
      <c r="L2031" s="9"/>
      <c r="M2031" s="9"/>
    </row>
    <row r="2032" spans="1:13">
      <c r="A2032" s="9"/>
      <c r="B2032" s="9"/>
      <c r="C2032" s="9"/>
      <c r="D2032" s="9"/>
      <c r="E2032" s="9"/>
      <c r="F2032" s="9"/>
      <c r="G2032" s="9"/>
      <c r="H2032" s="9"/>
      <c r="I2032" s="9"/>
      <c r="J2032" s="9"/>
      <c r="K2032" s="9"/>
      <c r="L2032" s="9"/>
      <c r="M2032" s="9"/>
    </row>
    <row r="2033" spans="1:13">
      <c r="A2033" s="9"/>
      <c r="B2033" s="9"/>
      <c r="C2033" s="9"/>
      <c r="D2033" s="9"/>
      <c r="E2033" s="9"/>
      <c r="F2033" s="9"/>
      <c r="G2033" s="9"/>
      <c r="H2033" s="9"/>
      <c r="I2033" s="9"/>
      <c r="J2033" s="9"/>
      <c r="K2033" s="9"/>
      <c r="L2033" s="9"/>
      <c r="M2033" s="9"/>
    </row>
    <row r="2034" spans="1:13">
      <c r="A2034" s="9"/>
      <c r="B2034" s="9"/>
      <c r="C2034" s="9"/>
      <c r="D2034" s="9"/>
      <c r="E2034" s="9"/>
      <c r="F2034" s="9"/>
      <c r="G2034" s="9"/>
      <c r="H2034" s="9"/>
      <c r="I2034" s="9"/>
      <c r="J2034" s="9"/>
      <c r="K2034" s="9"/>
      <c r="L2034" s="9"/>
      <c r="M2034" s="9"/>
    </row>
    <row r="2035" spans="1:13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</row>
    <row r="2036" spans="1:13">
      <c r="A2036" s="9"/>
      <c r="B2036" s="9"/>
      <c r="C2036" s="9"/>
      <c r="D2036" s="9"/>
      <c r="E2036" s="9"/>
      <c r="F2036" s="9"/>
      <c r="G2036" s="9"/>
      <c r="H2036" s="9"/>
      <c r="I2036" s="9"/>
      <c r="J2036" s="9"/>
      <c r="K2036" s="9"/>
      <c r="L2036" s="9"/>
      <c r="M2036" s="9"/>
    </row>
    <row r="2037" spans="1:13">
      <c r="A2037" s="9"/>
      <c r="B2037" s="9"/>
      <c r="C2037" s="9"/>
      <c r="D2037" s="9"/>
      <c r="E2037" s="9"/>
      <c r="F2037" s="9"/>
      <c r="G2037" s="9"/>
      <c r="H2037" s="9"/>
      <c r="I2037" s="9"/>
      <c r="J2037" s="9"/>
      <c r="K2037" s="9"/>
      <c r="L2037" s="9"/>
      <c r="M2037" s="9"/>
    </row>
    <row r="2038" spans="1:13">
      <c r="A2038" s="9"/>
      <c r="B2038" s="9"/>
      <c r="C2038" s="9"/>
      <c r="D2038" s="9"/>
      <c r="E2038" s="9"/>
      <c r="F2038" s="9"/>
      <c r="G2038" s="9"/>
      <c r="H2038" s="9"/>
      <c r="I2038" s="9"/>
      <c r="J2038" s="9"/>
      <c r="K2038" s="9"/>
      <c r="L2038" s="9"/>
      <c r="M2038" s="9"/>
    </row>
    <row r="2039" spans="1:13">
      <c r="A2039" s="9"/>
      <c r="B2039" s="9"/>
      <c r="C2039" s="9"/>
      <c r="D2039" s="9"/>
      <c r="E2039" s="9"/>
      <c r="F2039" s="9"/>
      <c r="G2039" s="9"/>
      <c r="H2039" s="9"/>
      <c r="I2039" s="9"/>
      <c r="J2039" s="9"/>
      <c r="K2039" s="9"/>
      <c r="L2039" s="9"/>
      <c r="M2039" s="9"/>
    </row>
    <row r="2040" spans="1:13">
      <c r="A2040" s="9"/>
      <c r="B2040" s="9"/>
      <c r="C2040" s="9"/>
      <c r="D2040" s="9"/>
      <c r="E2040" s="9"/>
      <c r="F2040" s="9"/>
      <c r="G2040" s="9"/>
      <c r="H2040" s="9"/>
      <c r="I2040" s="9"/>
      <c r="J2040" s="9"/>
      <c r="K2040" s="9"/>
      <c r="L2040" s="9"/>
      <c r="M2040" s="9"/>
    </row>
    <row r="2041" spans="1:13">
      <c r="A2041" s="9"/>
      <c r="B2041" s="9"/>
      <c r="C2041" s="9"/>
      <c r="D2041" s="9"/>
      <c r="E2041" s="9"/>
      <c r="F2041" s="9"/>
      <c r="G2041" s="9"/>
      <c r="H2041" s="9"/>
      <c r="I2041" s="9"/>
      <c r="J2041" s="9"/>
      <c r="K2041" s="9"/>
      <c r="L2041" s="9"/>
      <c r="M2041" s="9"/>
    </row>
    <row r="2042" spans="1:13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9"/>
      <c r="L2042" s="9"/>
      <c r="M2042" s="9"/>
    </row>
    <row r="2043" spans="1:13">
      <c r="A2043" s="9"/>
      <c r="B2043" s="9"/>
      <c r="C2043" s="9"/>
      <c r="D2043" s="9"/>
      <c r="E2043" s="9"/>
      <c r="F2043" s="9"/>
      <c r="G2043" s="9"/>
      <c r="H2043" s="9"/>
      <c r="I2043" s="9"/>
      <c r="J2043" s="9"/>
      <c r="K2043" s="9"/>
      <c r="L2043" s="9"/>
      <c r="M2043" s="9"/>
    </row>
    <row r="2044" spans="1:13">
      <c r="A2044" s="9"/>
      <c r="B2044" s="9"/>
      <c r="C2044" s="9"/>
      <c r="D2044" s="9"/>
      <c r="E2044" s="9"/>
      <c r="F2044" s="9"/>
      <c r="G2044" s="9"/>
      <c r="H2044" s="9"/>
      <c r="I2044" s="9"/>
      <c r="J2044" s="9"/>
      <c r="K2044" s="9"/>
      <c r="L2044" s="9"/>
      <c r="M2044" s="9"/>
    </row>
    <row r="2045" spans="1:13">
      <c r="A2045" s="9"/>
      <c r="B2045" s="9"/>
      <c r="C2045" s="9"/>
      <c r="D2045" s="9"/>
      <c r="E2045" s="9"/>
      <c r="F2045" s="9"/>
      <c r="G2045" s="9"/>
      <c r="H2045" s="9"/>
      <c r="I2045" s="9"/>
      <c r="J2045" s="9"/>
      <c r="K2045" s="9"/>
      <c r="L2045" s="9"/>
      <c r="M2045" s="9"/>
    </row>
    <row r="2046" spans="1:13">
      <c r="A2046" s="9"/>
      <c r="B2046" s="9"/>
      <c r="C2046" s="9"/>
      <c r="D2046" s="9"/>
      <c r="E2046" s="9"/>
      <c r="F2046" s="9"/>
      <c r="G2046" s="9"/>
      <c r="H2046" s="9"/>
      <c r="I2046" s="9"/>
      <c r="J2046" s="9"/>
      <c r="K2046" s="9"/>
      <c r="L2046" s="9"/>
      <c r="M2046" s="9"/>
    </row>
    <row r="2047" spans="1:13">
      <c r="A2047" s="9"/>
      <c r="B2047" s="9"/>
      <c r="C2047" s="9"/>
      <c r="D2047" s="9"/>
      <c r="E2047" s="9"/>
      <c r="F2047" s="9"/>
      <c r="G2047" s="9"/>
      <c r="H2047" s="9"/>
      <c r="I2047" s="9"/>
      <c r="J2047" s="9"/>
      <c r="K2047" s="9"/>
      <c r="L2047" s="9"/>
      <c r="M2047" s="9"/>
    </row>
    <row r="2048" spans="1:13">
      <c r="A2048" s="9"/>
      <c r="B2048" s="9"/>
      <c r="C2048" s="9"/>
      <c r="D2048" s="9"/>
      <c r="E2048" s="9"/>
      <c r="F2048" s="9"/>
      <c r="G2048" s="9"/>
      <c r="H2048" s="9"/>
      <c r="I2048" s="9"/>
      <c r="J2048" s="9"/>
      <c r="K2048" s="9"/>
      <c r="L2048" s="9"/>
      <c r="M2048" s="9"/>
    </row>
    <row r="2049" spans="1:13">
      <c r="A2049" s="9"/>
      <c r="B2049" s="9"/>
      <c r="C2049" s="9"/>
      <c r="D2049" s="9"/>
      <c r="E2049" s="9"/>
      <c r="F2049" s="9"/>
      <c r="G2049" s="9"/>
      <c r="H2049" s="9"/>
      <c r="I2049" s="9"/>
      <c r="J2049" s="9"/>
      <c r="K2049" s="9"/>
      <c r="L2049" s="9"/>
      <c r="M2049" s="9"/>
    </row>
    <row r="2050" spans="1:13">
      <c r="A2050" s="9"/>
      <c r="B2050" s="9"/>
      <c r="C2050" s="9"/>
      <c r="D2050" s="9"/>
      <c r="E2050" s="9"/>
      <c r="F2050" s="9"/>
      <c r="G2050" s="9"/>
      <c r="H2050" s="9"/>
      <c r="I2050" s="9"/>
      <c r="J2050" s="9"/>
      <c r="K2050" s="9"/>
      <c r="L2050" s="9"/>
      <c r="M2050" s="9"/>
    </row>
    <row r="2051" spans="1:13">
      <c r="A2051" s="9"/>
      <c r="B2051" s="9"/>
      <c r="C2051" s="9"/>
      <c r="D2051" s="9"/>
      <c r="E2051" s="9"/>
      <c r="F2051" s="9"/>
      <c r="G2051" s="9"/>
      <c r="H2051" s="9"/>
      <c r="I2051" s="9"/>
      <c r="J2051" s="9"/>
      <c r="K2051" s="9"/>
      <c r="L2051" s="9"/>
      <c r="M2051" s="9"/>
    </row>
    <row r="2052" spans="1:13">
      <c r="A2052" s="9"/>
      <c r="B2052" s="9"/>
      <c r="C2052" s="9"/>
      <c r="D2052" s="9"/>
      <c r="E2052" s="9"/>
      <c r="F2052" s="9"/>
      <c r="G2052" s="9"/>
      <c r="H2052" s="9"/>
      <c r="I2052" s="9"/>
      <c r="J2052" s="9"/>
      <c r="K2052" s="9"/>
      <c r="L2052" s="9"/>
      <c r="M2052" s="9"/>
    </row>
    <row r="2053" spans="1:13">
      <c r="A2053" s="9"/>
      <c r="B2053" s="9"/>
      <c r="C2053" s="9"/>
      <c r="D2053" s="9"/>
      <c r="E2053" s="9"/>
      <c r="F2053" s="9"/>
      <c r="G2053" s="9"/>
      <c r="H2053" s="9"/>
      <c r="I2053" s="9"/>
      <c r="J2053" s="9"/>
      <c r="K2053" s="9"/>
      <c r="L2053" s="9"/>
      <c r="M2053" s="9"/>
    </row>
    <row r="2054" spans="1:13">
      <c r="A2054" s="9"/>
      <c r="B2054" s="9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</row>
    <row r="2055" spans="1:13">
      <c r="A2055" s="9"/>
      <c r="B2055" s="9"/>
      <c r="C2055" s="9"/>
      <c r="D2055" s="9"/>
      <c r="E2055" s="9"/>
      <c r="F2055" s="9"/>
      <c r="G2055" s="9"/>
      <c r="H2055" s="9"/>
      <c r="I2055" s="9"/>
      <c r="J2055" s="9"/>
      <c r="K2055" s="9"/>
      <c r="L2055" s="9"/>
      <c r="M2055" s="9"/>
    </row>
    <row r="2056" spans="1:13">
      <c r="A2056" s="9"/>
      <c r="B2056" s="9"/>
      <c r="C2056" s="9"/>
      <c r="D2056" s="9"/>
      <c r="E2056" s="9"/>
      <c r="F2056" s="9"/>
      <c r="G2056" s="9"/>
      <c r="H2056" s="9"/>
      <c r="I2056" s="9"/>
      <c r="J2056" s="9"/>
      <c r="K2056" s="9"/>
      <c r="L2056" s="9"/>
      <c r="M2056" s="9"/>
    </row>
    <row r="2057" spans="1:13">
      <c r="A2057" s="9"/>
      <c r="B2057" s="9"/>
      <c r="C2057" s="9"/>
      <c r="D2057" s="9"/>
      <c r="E2057" s="9"/>
      <c r="F2057" s="9"/>
      <c r="G2057" s="9"/>
      <c r="H2057" s="9"/>
      <c r="I2057" s="9"/>
      <c r="J2057" s="9"/>
      <c r="K2057" s="9"/>
      <c r="L2057" s="9"/>
      <c r="M2057" s="9"/>
    </row>
    <row r="2058" spans="1:13">
      <c r="A2058" s="9"/>
      <c r="B2058" s="9"/>
      <c r="C2058" s="9"/>
      <c r="D2058" s="9"/>
      <c r="E2058" s="9"/>
      <c r="F2058" s="9"/>
      <c r="G2058" s="9"/>
      <c r="H2058" s="9"/>
      <c r="I2058" s="9"/>
      <c r="J2058" s="9"/>
      <c r="K2058" s="9"/>
      <c r="L2058" s="9"/>
      <c r="M2058" s="9"/>
    </row>
    <row r="2059" spans="1:13">
      <c r="A2059" s="9"/>
      <c r="B2059" s="9"/>
      <c r="C2059" s="9"/>
      <c r="D2059" s="9"/>
      <c r="E2059" s="9"/>
      <c r="F2059" s="9"/>
      <c r="G2059" s="9"/>
      <c r="H2059" s="9"/>
      <c r="I2059" s="9"/>
      <c r="J2059" s="9"/>
      <c r="K2059" s="9"/>
      <c r="L2059" s="9"/>
      <c r="M2059" s="9"/>
    </row>
    <row r="2060" spans="1:13">
      <c r="A2060" s="9"/>
      <c r="B2060" s="9"/>
      <c r="C2060" s="9"/>
      <c r="D2060" s="9"/>
      <c r="E2060" s="9"/>
      <c r="F2060" s="9"/>
      <c r="G2060" s="9"/>
      <c r="H2060" s="9"/>
      <c r="I2060" s="9"/>
      <c r="J2060" s="9"/>
      <c r="K2060" s="9"/>
      <c r="L2060" s="9"/>
      <c r="M2060" s="9"/>
    </row>
    <row r="2061" spans="1:13">
      <c r="A2061" s="9"/>
      <c r="B2061" s="9"/>
      <c r="C2061" s="9"/>
      <c r="D2061" s="9"/>
      <c r="E2061" s="9"/>
      <c r="F2061" s="9"/>
      <c r="G2061" s="9"/>
      <c r="H2061" s="9"/>
      <c r="I2061" s="9"/>
      <c r="J2061" s="9"/>
      <c r="K2061" s="9"/>
      <c r="L2061" s="9"/>
      <c r="M2061" s="9"/>
    </row>
    <row r="2062" spans="1:13">
      <c r="A2062" s="9"/>
      <c r="B2062" s="9"/>
      <c r="C2062" s="9"/>
      <c r="D2062" s="9"/>
      <c r="E2062" s="9"/>
      <c r="F2062" s="9"/>
      <c r="G2062" s="9"/>
      <c r="H2062" s="9"/>
      <c r="I2062" s="9"/>
      <c r="J2062" s="9"/>
      <c r="K2062" s="9"/>
      <c r="L2062" s="9"/>
      <c r="M2062" s="9"/>
    </row>
    <row r="2063" spans="1:13">
      <c r="A2063" s="9"/>
      <c r="B2063" s="9"/>
      <c r="C2063" s="9"/>
      <c r="D2063" s="9"/>
      <c r="E2063" s="9"/>
      <c r="F2063" s="9"/>
      <c r="G2063" s="9"/>
      <c r="H2063" s="9"/>
      <c r="I2063" s="9"/>
      <c r="J2063" s="9"/>
      <c r="K2063" s="9"/>
      <c r="L2063" s="9"/>
      <c r="M2063" s="9"/>
    </row>
    <row r="2064" spans="1:13">
      <c r="A2064" s="9"/>
      <c r="B2064" s="9"/>
      <c r="C2064" s="9"/>
      <c r="D2064" s="9"/>
      <c r="E2064" s="9"/>
      <c r="F2064" s="9"/>
      <c r="G2064" s="9"/>
      <c r="H2064" s="9"/>
      <c r="I2064" s="9"/>
      <c r="J2064" s="9"/>
      <c r="K2064" s="9"/>
      <c r="L2064" s="9"/>
      <c r="M2064" s="9"/>
    </row>
    <row r="2065" spans="1:13">
      <c r="A2065" s="9"/>
      <c r="B2065" s="9"/>
      <c r="C2065" s="9"/>
      <c r="D2065" s="9"/>
      <c r="E2065" s="9"/>
      <c r="F2065" s="9"/>
      <c r="G2065" s="9"/>
      <c r="H2065" s="9"/>
      <c r="I2065" s="9"/>
      <c r="J2065" s="9"/>
      <c r="K2065" s="9"/>
      <c r="L2065" s="9"/>
      <c r="M2065" s="9"/>
    </row>
    <row r="2066" spans="1:13">
      <c r="A2066" s="9"/>
      <c r="B2066" s="9"/>
      <c r="C2066" s="9"/>
      <c r="D2066" s="9"/>
      <c r="E2066" s="9"/>
      <c r="F2066" s="9"/>
      <c r="G2066" s="9"/>
      <c r="H2066" s="9"/>
      <c r="I2066" s="9"/>
      <c r="J2066" s="9"/>
      <c r="K2066" s="9"/>
      <c r="L2066" s="9"/>
      <c r="M2066" s="9"/>
    </row>
    <row r="2067" spans="1:13">
      <c r="A2067" s="9"/>
      <c r="B2067" s="9"/>
      <c r="C2067" s="9"/>
      <c r="D2067" s="9"/>
      <c r="E2067" s="9"/>
      <c r="F2067" s="9"/>
      <c r="G2067" s="9"/>
      <c r="H2067" s="9"/>
      <c r="I2067" s="9"/>
      <c r="J2067" s="9"/>
      <c r="K2067" s="9"/>
      <c r="L2067" s="9"/>
      <c r="M2067" s="9"/>
    </row>
    <row r="2068" spans="1:13">
      <c r="A2068" s="9"/>
      <c r="B2068" s="9"/>
      <c r="C2068" s="9"/>
      <c r="D2068" s="9"/>
      <c r="E2068" s="9"/>
      <c r="F2068" s="9"/>
      <c r="G2068" s="9"/>
      <c r="H2068" s="9"/>
      <c r="I2068" s="9"/>
      <c r="J2068" s="9"/>
      <c r="K2068" s="9"/>
      <c r="L2068" s="9"/>
      <c r="M2068" s="9"/>
    </row>
    <row r="2069" spans="1:13">
      <c r="A2069" s="9"/>
      <c r="B2069" s="9"/>
      <c r="C2069" s="9"/>
      <c r="D2069" s="9"/>
      <c r="E2069" s="9"/>
      <c r="F2069" s="9"/>
      <c r="G2069" s="9"/>
      <c r="H2069" s="9"/>
      <c r="I2069" s="9"/>
      <c r="J2069" s="9"/>
      <c r="K2069" s="9"/>
      <c r="L2069" s="9"/>
      <c r="M2069" s="9"/>
    </row>
    <row r="2070" spans="1:13">
      <c r="A2070" s="9"/>
      <c r="B2070" s="9"/>
      <c r="C2070" s="9"/>
      <c r="D2070" s="9"/>
      <c r="E2070" s="9"/>
      <c r="F2070" s="9"/>
      <c r="G2070" s="9"/>
      <c r="H2070" s="9"/>
      <c r="I2070" s="9"/>
      <c r="J2070" s="9"/>
      <c r="K2070" s="9"/>
      <c r="L2070" s="9"/>
      <c r="M2070" s="9"/>
    </row>
    <row r="2071" spans="1:13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</row>
    <row r="2072" spans="1:13">
      <c r="A2072" s="9"/>
      <c r="B2072" s="9"/>
      <c r="C2072" s="9"/>
      <c r="D2072" s="9"/>
      <c r="E2072" s="9"/>
      <c r="F2072" s="9"/>
      <c r="G2072" s="9"/>
      <c r="H2072" s="9"/>
      <c r="I2072" s="9"/>
      <c r="J2072" s="9"/>
      <c r="K2072" s="9"/>
      <c r="L2072" s="9"/>
      <c r="M2072" s="9"/>
    </row>
    <row r="2073" spans="1:13">
      <c r="A2073" s="9"/>
      <c r="B2073" s="9"/>
      <c r="C2073" s="9"/>
      <c r="D2073" s="9"/>
      <c r="E2073" s="9"/>
      <c r="F2073" s="9"/>
      <c r="G2073" s="9"/>
      <c r="H2073" s="9"/>
      <c r="I2073" s="9"/>
      <c r="J2073" s="9"/>
      <c r="K2073" s="9"/>
      <c r="L2073" s="9"/>
      <c r="M2073" s="9"/>
    </row>
    <row r="2074" spans="1:13">
      <c r="A2074" s="9"/>
      <c r="B2074" s="9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</row>
    <row r="2075" spans="1:13">
      <c r="A2075" s="9"/>
      <c r="B2075" s="9"/>
      <c r="C2075" s="9"/>
      <c r="D2075" s="9"/>
      <c r="E2075" s="9"/>
      <c r="F2075" s="9"/>
      <c r="G2075" s="9"/>
      <c r="H2075" s="9"/>
      <c r="I2075" s="9"/>
      <c r="J2075" s="9"/>
      <c r="K2075" s="9"/>
      <c r="L2075" s="9"/>
      <c r="M2075" s="9"/>
    </row>
    <row r="2076" spans="1:13">
      <c r="A2076" s="9"/>
      <c r="B2076" s="9"/>
      <c r="C2076" s="9"/>
      <c r="D2076" s="9"/>
      <c r="E2076" s="9"/>
      <c r="F2076" s="9"/>
      <c r="G2076" s="9"/>
      <c r="H2076" s="9"/>
      <c r="I2076" s="9"/>
      <c r="J2076" s="9"/>
      <c r="K2076" s="9"/>
      <c r="L2076" s="9"/>
      <c r="M2076" s="9"/>
    </row>
    <row r="2077" spans="1:13">
      <c r="A2077" s="9"/>
      <c r="B2077" s="9"/>
      <c r="C2077" s="9"/>
      <c r="D2077" s="9"/>
      <c r="E2077" s="9"/>
      <c r="F2077" s="9"/>
      <c r="G2077" s="9"/>
      <c r="H2077" s="9"/>
      <c r="I2077" s="9"/>
      <c r="J2077" s="9"/>
      <c r="K2077" s="9"/>
      <c r="L2077" s="9"/>
      <c r="M2077" s="9"/>
    </row>
    <row r="2078" spans="1:13">
      <c r="A2078" s="9"/>
      <c r="B2078" s="9"/>
      <c r="C2078" s="9"/>
      <c r="D2078" s="9"/>
      <c r="E2078" s="9"/>
      <c r="F2078" s="9"/>
      <c r="G2078" s="9"/>
      <c r="H2078" s="9"/>
      <c r="I2078" s="9"/>
      <c r="J2078" s="9"/>
      <c r="K2078" s="9"/>
      <c r="L2078" s="9"/>
      <c r="M2078" s="9"/>
    </row>
    <row r="2079" spans="1:13">
      <c r="A2079" s="9"/>
      <c r="B2079" s="9"/>
      <c r="C2079" s="9"/>
      <c r="D2079" s="9"/>
      <c r="E2079" s="9"/>
      <c r="F2079" s="9"/>
      <c r="G2079" s="9"/>
      <c r="H2079" s="9"/>
      <c r="I2079" s="9"/>
      <c r="J2079" s="9"/>
      <c r="K2079" s="9"/>
      <c r="L2079" s="9"/>
      <c r="M2079" s="9"/>
    </row>
    <row r="2080" spans="1:13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9"/>
      <c r="L2080" s="9"/>
      <c r="M2080" s="9"/>
    </row>
    <row r="2081" spans="1:13">
      <c r="A2081" s="9"/>
      <c r="B2081" s="9"/>
      <c r="C2081" s="9"/>
      <c r="D2081" s="9"/>
      <c r="E2081" s="9"/>
      <c r="F2081" s="9"/>
      <c r="G2081" s="9"/>
      <c r="H2081" s="9"/>
      <c r="I2081" s="9"/>
      <c r="J2081" s="9"/>
      <c r="K2081" s="9"/>
      <c r="L2081" s="9"/>
      <c r="M2081" s="9"/>
    </row>
    <row r="2082" spans="1:13">
      <c r="A2082" s="9"/>
      <c r="B2082" s="9"/>
      <c r="C2082" s="9"/>
      <c r="D2082" s="9"/>
      <c r="E2082" s="9"/>
      <c r="F2082" s="9"/>
      <c r="G2082" s="9"/>
      <c r="H2082" s="9"/>
      <c r="I2082" s="9"/>
      <c r="J2082" s="9"/>
      <c r="K2082" s="9"/>
      <c r="L2082" s="9"/>
      <c r="M2082" s="9"/>
    </row>
    <row r="2083" spans="1:13">
      <c r="A2083" s="9"/>
      <c r="B2083" s="9"/>
      <c r="C2083" s="9"/>
      <c r="D2083" s="9"/>
      <c r="E2083" s="9"/>
      <c r="F2083" s="9"/>
      <c r="G2083" s="9"/>
      <c r="H2083" s="9"/>
      <c r="I2083" s="9"/>
      <c r="J2083" s="9"/>
      <c r="K2083" s="9"/>
      <c r="L2083" s="9"/>
      <c r="M2083" s="9"/>
    </row>
    <row r="2084" spans="1:13">
      <c r="A2084" s="9"/>
      <c r="B2084" s="9"/>
      <c r="C2084" s="9"/>
      <c r="D2084" s="9"/>
      <c r="E2084" s="9"/>
      <c r="F2084" s="9"/>
      <c r="G2084" s="9"/>
      <c r="H2084" s="9"/>
      <c r="I2084" s="9"/>
      <c r="J2084" s="9"/>
      <c r="K2084" s="9"/>
      <c r="L2084" s="9"/>
      <c r="M2084" s="9"/>
    </row>
    <row r="2085" spans="1:13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9"/>
      <c r="L2085" s="9"/>
      <c r="M2085" s="9"/>
    </row>
    <row r="2086" spans="1:13">
      <c r="A2086" s="9"/>
      <c r="B2086" s="9"/>
      <c r="C2086" s="9"/>
      <c r="D2086" s="9"/>
      <c r="E2086" s="9"/>
      <c r="F2086" s="9"/>
      <c r="G2086" s="9"/>
      <c r="H2086" s="9"/>
      <c r="I2086" s="9"/>
      <c r="J2086" s="9"/>
      <c r="K2086" s="9"/>
      <c r="L2086" s="9"/>
      <c r="M2086" s="9"/>
    </row>
    <row r="2087" spans="1:13">
      <c r="A2087" s="9"/>
      <c r="B2087" s="9"/>
      <c r="C2087" s="9"/>
      <c r="D2087" s="9"/>
      <c r="E2087" s="9"/>
      <c r="F2087" s="9"/>
      <c r="G2087" s="9"/>
      <c r="H2087" s="9"/>
      <c r="I2087" s="9"/>
      <c r="J2087" s="9"/>
      <c r="K2087" s="9"/>
      <c r="L2087" s="9"/>
      <c r="M2087" s="9"/>
    </row>
    <row r="2088" spans="1:13">
      <c r="A2088" s="9"/>
      <c r="B2088" s="9"/>
      <c r="C2088" s="9"/>
      <c r="D2088" s="9"/>
      <c r="E2088" s="9"/>
      <c r="F2088" s="9"/>
      <c r="G2088" s="9"/>
      <c r="H2088" s="9"/>
      <c r="I2088" s="9"/>
      <c r="J2088" s="9"/>
      <c r="K2088" s="9"/>
      <c r="L2088" s="9"/>
      <c r="M2088" s="9"/>
    </row>
    <row r="2089" spans="1:13">
      <c r="A2089" s="9"/>
      <c r="B2089" s="9"/>
      <c r="C2089" s="9"/>
      <c r="D2089" s="9"/>
      <c r="E2089" s="9"/>
      <c r="F2089" s="9"/>
      <c r="G2089" s="9"/>
      <c r="H2089" s="9"/>
      <c r="I2089" s="9"/>
      <c r="J2089" s="9"/>
      <c r="K2089" s="9"/>
      <c r="L2089" s="9"/>
      <c r="M2089" s="9"/>
    </row>
    <row r="2090" spans="1:13">
      <c r="A2090" s="9"/>
      <c r="B2090" s="9"/>
      <c r="C2090" s="9"/>
      <c r="D2090" s="9"/>
      <c r="E2090" s="9"/>
      <c r="F2090" s="9"/>
      <c r="G2090" s="9"/>
      <c r="H2090" s="9"/>
      <c r="I2090" s="9"/>
      <c r="J2090" s="9"/>
      <c r="K2090" s="9"/>
      <c r="L2090" s="9"/>
      <c r="M2090" s="9"/>
    </row>
    <row r="2091" spans="1:13">
      <c r="A2091" s="9"/>
      <c r="B2091" s="9"/>
      <c r="C2091" s="9"/>
      <c r="D2091" s="9"/>
      <c r="E2091" s="9"/>
      <c r="F2091" s="9"/>
      <c r="G2091" s="9"/>
      <c r="H2091" s="9"/>
      <c r="I2091" s="9"/>
      <c r="J2091" s="9"/>
      <c r="K2091" s="9"/>
      <c r="L2091" s="9"/>
      <c r="M2091" s="9"/>
    </row>
    <row r="2092" spans="1:13">
      <c r="A2092" s="9"/>
      <c r="B2092" s="9"/>
      <c r="C2092" s="9"/>
      <c r="D2092" s="9"/>
      <c r="E2092" s="9"/>
      <c r="F2092" s="9"/>
      <c r="G2092" s="9"/>
      <c r="H2092" s="9"/>
      <c r="I2092" s="9"/>
      <c r="J2092" s="9"/>
      <c r="K2092" s="9"/>
      <c r="L2092" s="9"/>
      <c r="M2092" s="9"/>
    </row>
    <row r="2093" spans="1:13">
      <c r="A2093" s="9"/>
      <c r="B2093" s="9"/>
      <c r="C2093" s="9"/>
      <c r="D2093" s="9"/>
      <c r="E2093" s="9"/>
      <c r="F2093" s="9"/>
      <c r="G2093" s="9"/>
      <c r="H2093" s="9"/>
      <c r="I2093" s="9"/>
      <c r="J2093" s="9"/>
      <c r="K2093" s="9"/>
      <c r="L2093" s="9"/>
      <c r="M2093" s="9"/>
    </row>
    <row r="2094" spans="1:13">
      <c r="A2094" s="9"/>
      <c r="B2094" s="9"/>
      <c r="C2094" s="9"/>
      <c r="D2094" s="9"/>
      <c r="E2094" s="9"/>
      <c r="F2094" s="9"/>
      <c r="G2094" s="9"/>
      <c r="H2094" s="9"/>
      <c r="I2094" s="9"/>
      <c r="J2094" s="9"/>
      <c r="K2094" s="9"/>
      <c r="L2094" s="9"/>
      <c r="M2094" s="9"/>
    </row>
    <row r="2095" spans="1:13">
      <c r="A2095" s="9"/>
      <c r="B2095" s="9"/>
      <c r="C2095" s="9"/>
      <c r="D2095" s="9"/>
      <c r="E2095" s="9"/>
      <c r="F2095" s="9"/>
      <c r="G2095" s="9"/>
      <c r="H2095" s="9"/>
      <c r="I2095" s="9"/>
      <c r="J2095" s="9"/>
      <c r="K2095" s="9"/>
      <c r="L2095" s="9"/>
      <c r="M2095" s="9"/>
    </row>
    <row r="2096" spans="1:13">
      <c r="A2096" s="9"/>
      <c r="B2096" s="9"/>
      <c r="C2096" s="9"/>
      <c r="D2096" s="9"/>
      <c r="E2096" s="9"/>
      <c r="F2096" s="9"/>
      <c r="G2096" s="9"/>
      <c r="H2096" s="9"/>
      <c r="I2096" s="9"/>
      <c r="J2096" s="9"/>
      <c r="K2096" s="9"/>
      <c r="L2096" s="9"/>
      <c r="M2096" s="9"/>
    </row>
    <row r="2097" spans="1:13">
      <c r="A2097" s="9"/>
      <c r="B2097" s="9"/>
      <c r="C2097" s="9"/>
      <c r="D2097" s="9"/>
      <c r="E2097" s="9"/>
      <c r="F2097" s="9"/>
      <c r="G2097" s="9"/>
      <c r="H2097" s="9"/>
      <c r="I2097" s="9"/>
      <c r="J2097" s="9"/>
      <c r="K2097" s="9"/>
      <c r="L2097" s="9"/>
      <c r="M2097" s="9"/>
    </row>
    <row r="2098" spans="1:13">
      <c r="A2098" s="9"/>
      <c r="B2098" s="9"/>
      <c r="C2098" s="9"/>
      <c r="D2098" s="9"/>
      <c r="E2098" s="9"/>
      <c r="F2098" s="9"/>
      <c r="G2098" s="9"/>
      <c r="H2098" s="9"/>
      <c r="I2098" s="9"/>
      <c r="J2098" s="9"/>
      <c r="K2098" s="9"/>
      <c r="L2098" s="9"/>
      <c r="M2098" s="9"/>
    </row>
    <row r="2099" spans="1:13">
      <c r="A2099" s="9"/>
      <c r="B2099" s="9"/>
      <c r="C2099" s="9"/>
      <c r="D2099" s="9"/>
      <c r="E2099" s="9"/>
      <c r="F2099" s="9"/>
      <c r="G2099" s="9"/>
      <c r="H2099" s="9"/>
      <c r="I2099" s="9"/>
      <c r="J2099" s="9"/>
      <c r="K2099" s="9"/>
      <c r="L2099" s="9"/>
      <c r="M2099" s="9"/>
    </row>
    <row r="2100" spans="1:13">
      <c r="A2100" s="9"/>
      <c r="B2100" s="9"/>
      <c r="C2100" s="9"/>
      <c r="D2100" s="9"/>
      <c r="E2100" s="9"/>
      <c r="F2100" s="9"/>
      <c r="G2100" s="9"/>
      <c r="H2100" s="9"/>
      <c r="I2100" s="9"/>
      <c r="J2100" s="9"/>
      <c r="K2100" s="9"/>
      <c r="L2100" s="9"/>
      <c r="M2100" s="9"/>
    </row>
    <row r="2101" spans="1:13">
      <c r="A2101" s="9"/>
      <c r="B2101" s="9"/>
      <c r="C2101" s="9"/>
      <c r="D2101" s="9"/>
      <c r="E2101" s="9"/>
      <c r="F2101" s="9"/>
      <c r="G2101" s="9"/>
      <c r="H2101" s="9"/>
      <c r="I2101" s="9"/>
      <c r="J2101" s="9"/>
      <c r="K2101" s="9"/>
      <c r="L2101" s="9"/>
      <c r="M2101" s="9"/>
    </row>
    <row r="2102" spans="1:13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9"/>
      <c r="L2102" s="9"/>
      <c r="M2102" s="9"/>
    </row>
    <row r="2103" spans="1:13">
      <c r="A2103" s="9"/>
      <c r="B2103" s="9"/>
      <c r="C2103" s="9"/>
      <c r="D2103" s="9"/>
      <c r="E2103" s="9"/>
      <c r="F2103" s="9"/>
      <c r="G2103" s="9"/>
      <c r="H2103" s="9"/>
      <c r="I2103" s="9"/>
      <c r="J2103" s="9"/>
      <c r="K2103" s="9"/>
      <c r="L2103" s="9"/>
      <c r="M2103" s="9"/>
    </row>
    <row r="2104" spans="1:13">
      <c r="A2104" s="9"/>
      <c r="B2104" s="9"/>
      <c r="C2104" s="9"/>
      <c r="D2104" s="9"/>
      <c r="E2104" s="9"/>
      <c r="F2104" s="9"/>
      <c r="G2104" s="9"/>
      <c r="H2104" s="9"/>
      <c r="I2104" s="9"/>
      <c r="J2104" s="9"/>
      <c r="K2104" s="9"/>
      <c r="L2104" s="9"/>
      <c r="M2104" s="9"/>
    </row>
    <row r="2105" spans="1:13">
      <c r="A2105" s="9"/>
      <c r="B2105" s="9"/>
      <c r="C2105" s="9"/>
      <c r="D2105" s="9"/>
      <c r="E2105" s="9"/>
      <c r="F2105" s="9"/>
      <c r="G2105" s="9"/>
      <c r="H2105" s="9"/>
      <c r="I2105" s="9"/>
      <c r="J2105" s="9"/>
      <c r="K2105" s="9"/>
      <c r="L2105" s="9"/>
      <c r="M2105" s="9"/>
    </row>
    <row r="2106" spans="1:13">
      <c r="A2106" s="9"/>
      <c r="B2106" s="9"/>
      <c r="C2106" s="9"/>
      <c r="D2106" s="9"/>
      <c r="E2106" s="9"/>
      <c r="F2106" s="9"/>
      <c r="G2106" s="9"/>
      <c r="H2106" s="9"/>
      <c r="I2106" s="9"/>
      <c r="J2106" s="9"/>
      <c r="K2106" s="9"/>
      <c r="L2106" s="9"/>
      <c r="M2106" s="9"/>
    </row>
    <row r="2107" spans="1:13">
      <c r="A2107" s="9"/>
      <c r="B2107" s="9"/>
      <c r="C2107" s="9"/>
      <c r="D2107" s="9"/>
      <c r="E2107" s="9"/>
      <c r="F2107" s="9"/>
      <c r="G2107" s="9"/>
      <c r="H2107" s="9"/>
      <c r="I2107" s="9"/>
      <c r="J2107" s="9"/>
      <c r="K2107" s="9"/>
      <c r="L2107" s="9"/>
      <c r="M2107" s="9"/>
    </row>
    <row r="2108" spans="1:13">
      <c r="A2108" s="9"/>
      <c r="B2108" s="9"/>
      <c r="C2108" s="9"/>
      <c r="D2108" s="9"/>
      <c r="E2108" s="9"/>
      <c r="F2108" s="9"/>
      <c r="G2108" s="9"/>
      <c r="H2108" s="9"/>
      <c r="I2108" s="9"/>
      <c r="J2108" s="9"/>
      <c r="K2108" s="9"/>
      <c r="L2108" s="9"/>
      <c r="M2108" s="9"/>
    </row>
    <row r="2109" spans="1:13">
      <c r="A2109" s="9"/>
      <c r="B2109" s="9"/>
      <c r="C2109" s="9"/>
      <c r="D2109" s="9"/>
      <c r="E2109" s="9"/>
      <c r="F2109" s="9"/>
      <c r="G2109" s="9"/>
      <c r="H2109" s="9"/>
      <c r="I2109" s="9"/>
      <c r="J2109" s="9"/>
      <c r="K2109" s="9"/>
      <c r="L2109" s="9"/>
      <c r="M2109" s="9"/>
    </row>
    <row r="2110" spans="1:13">
      <c r="A2110" s="9"/>
      <c r="B2110" s="9"/>
      <c r="C2110" s="9"/>
      <c r="D2110" s="9"/>
      <c r="E2110" s="9"/>
      <c r="F2110" s="9"/>
      <c r="G2110" s="9"/>
      <c r="H2110" s="9"/>
      <c r="I2110" s="9"/>
      <c r="J2110" s="9"/>
      <c r="K2110" s="9"/>
      <c r="L2110" s="9"/>
      <c r="M2110" s="9"/>
    </row>
    <row r="2111" spans="1:13">
      <c r="A2111" s="9"/>
      <c r="B2111" s="9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</row>
    <row r="2112" spans="1:13">
      <c r="A2112" s="9"/>
      <c r="B2112" s="9"/>
      <c r="C2112" s="9"/>
      <c r="D2112" s="9"/>
      <c r="E2112" s="9"/>
      <c r="F2112" s="9"/>
      <c r="G2112" s="9"/>
      <c r="H2112" s="9"/>
      <c r="I2112" s="9"/>
      <c r="J2112" s="9"/>
      <c r="K2112" s="9"/>
      <c r="L2112" s="9"/>
      <c r="M2112" s="9"/>
    </row>
    <row r="2113" spans="1:13">
      <c r="A2113" s="9"/>
      <c r="B2113" s="9"/>
      <c r="C2113" s="9"/>
      <c r="D2113" s="9"/>
      <c r="E2113" s="9"/>
      <c r="F2113" s="9"/>
      <c r="G2113" s="9"/>
      <c r="H2113" s="9"/>
      <c r="I2113" s="9"/>
      <c r="J2113" s="9"/>
      <c r="K2113" s="9"/>
      <c r="L2113" s="9"/>
      <c r="M2113" s="9"/>
    </row>
    <row r="2114" spans="1:13">
      <c r="A2114" s="9"/>
      <c r="B2114" s="9"/>
      <c r="C2114" s="9"/>
      <c r="D2114" s="9"/>
      <c r="E2114" s="9"/>
      <c r="F2114" s="9"/>
      <c r="G2114" s="9"/>
      <c r="H2114" s="9"/>
      <c r="I2114" s="9"/>
      <c r="J2114" s="9"/>
      <c r="K2114" s="9"/>
      <c r="L2114" s="9"/>
      <c r="M2114" s="9"/>
    </row>
    <row r="2115" spans="1:13">
      <c r="A2115" s="9"/>
      <c r="B2115" s="9"/>
      <c r="C2115" s="9"/>
      <c r="D2115" s="9"/>
      <c r="E2115" s="9"/>
      <c r="F2115" s="9"/>
      <c r="G2115" s="9"/>
      <c r="H2115" s="9"/>
      <c r="I2115" s="9"/>
      <c r="J2115" s="9"/>
      <c r="K2115" s="9"/>
      <c r="L2115" s="9"/>
      <c r="M2115" s="9"/>
    </row>
    <row r="2116" spans="1:13">
      <c r="A2116" s="9"/>
      <c r="B2116" s="9"/>
      <c r="C2116" s="9"/>
      <c r="D2116" s="9"/>
      <c r="E2116" s="9"/>
      <c r="F2116" s="9"/>
      <c r="G2116" s="9"/>
      <c r="H2116" s="9"/>
      <c r="I2116" s="9"/>
      <c r="J2116" s="9"/>
      <c r="K2116" s="9"/>
      <c r="L2116" s="9"/>
      <c r="M2116" s="9"/>
    </row>
    <row r="2117" spans="1:13">
      <c r="A2117" s="9"/>
      <c r="B2117" s="9"/>
      <c r="C2117" s="9"/>
      <c r="D2117" s="9"/>
      <c r="E2117" s="9"/>
      <c r="F2117" s="9"/>
      <c r="G2117" s="9"/>
      <c r="H2117" s="9"/>
      <c r="I2117" s="9"/>
      <c r="J2117" s="9"/>
      <c r="K2117" s="9"/>
      <c r="L2117" s="9"/>
      <c r="M2117" s="9"/>
    </row>
    <row r="2118" spans="1:13">
      <c r="A2118" s="9"/>
      <c r="B2118" s="9"/>
      <c r="C2118" s="9"/>
      <c r="D2118" s="9"/>
      <c r="E2118" s="9"/>
      <c r="F2118" s="9"/>
      <c r="G2118" s="9"/>
      <c r="H2118" s="9"/>
      <c r="I2118" s="9"/>
      <c r="J2118" s="9"/>
      <c r="K2118" s="9"/>
      <c r="L2118" s="9"/>
      <c r="M2118" s="9"/>
    </row>
    <row r="2119" spans="1:13">
      <c r="A2119" s="9"/>
      <c r="B2119" s="9"/>
      <c r="C2119" s="9"/>
      <c r="D2119" s="9"/>
      <c r="E2119" s="9"/>
      <c r="F2119" s="9"/>
      <c r="G2119" s="9"/>
      <c r="H2119" s="9"/>
      <c r="I2119" s="9"/>
      <c r="J2119" s="9"/>
      <c r="K2119" s="9"/>
      <c r="L2119" s="9"/>
      <c r="M2119" s="9"/>
    </row>
    <row r="2120" spans="1:13">
      <c r="A2120" s="9"/>
      <c r="B2120" s="9"/>
      <c r="C2120" s="9"/>
      <c r="D2120" s="9"/>
      <c r="E2120" s="9"/>
      <c r="F2120" s="9"/>
      <c r="G2120" s="9"/>
      <c r="H2120" s="9"/>
      <c r="I2120" s="9"/>
      <c r="J2120" s="9"/>
      <c r="K2120" s="9"/>
      <c r="L2120" s="9"/>
      <c r="M2120" s="9"/>
    </row>
    <row r="2121" spans="1:13">
      <c r="A2121" s="9"/>
      <c r="B2121" s="9"/>
      <c r="C2121" s="9"/>
      <c r="D2121" s="9"/>
      <c r="E2121" s="9"/>
      <c r="F2121" s="9"/>
      <c r="G2121" s="9"/>
      <c r="H2121" s="9"/>
      <c r="I2121" s="9"/>
      <c r="J2121" s="9"/>
      <c r="K2121" s="9"/>
      <c r="L2121" s="9"/>
      <c r="M2121" s="9"/>
    </row>
    <row r="2122" spans="1:13">
      <c r="A2122" s="9"/>
      <c r="B2122" s="9"/>
      <c r="C2122" s="9"/>
      <c r="D2122" s="9"/>
      <c r="E2122" s="9"/>
      <c r="F2122" s="9"/>
      <c r="G2122" s="9"/>
      <c r="H2122" s="9"/>
      <c r="I2122" s="9"/>
      <c r="J2122" s="9"/>
      <c r="K2122" s="9"/>
      <c r="L2122" s="9"/>
      <c r="M2122" s="9"/>
    </row>
    <row r="2123" spans="1:13">
      <c r="A2123" s="9"/>
      <c r="B2123" s="9"/>
      <c r="C2123" s="9"/>
      <c r="D2123" s="9"/>
      <c r="E2123" s="9"/>
      <c r="F2123" s="9"/>
      <c r="G2123" s="9"/>
      <c r="H2123" s="9"/>
      <c r="I2123" s="9"/>
      <c r="J2123" s="9"/>
      <c r="K2123" s="9"/>
      <c r="L2123" s="9"/>
      <c r="M2123" s="9"/>
    </row>
    <row r="2124" spans="1:13">
      <c r="A2124" s="9"/>
      <c r="B2124" s="9"/>
      <c r="C2124" s="9"/>
      <c r="D2124" s="9"/>
      <c r="E2124" s="9"/>
      <c r="F2124" s="9"/>
      <c r="G2124" s="9"/>
      <c r="H2124" s="9"/>
      <c r="I2124" s="9"/>
      <c r="J2124" s="9"/>
      <c r="K2124" s="9"/>
      <c r="L2124" s="9"/>
      <c r="M2124" s="9"/>
    </row>
    <row r="2125" spans="1:13">
      <c r="A2125" s="9"/>
      <c r="B2125" s="9"/>
      <c r="C2125" s="9"/>
      <c r="D2125" s="9"/>
      <c r="E2125" s="9"/>
      <c r="F2125" s="9"/>
      <c r="G2125" s="9"/>
      <c r="H2125" s="9"/>
      <c r="I2125" s="9"/>
      <c r="J2125" s="9"/>
      <c r="K2125" s="9"/>
      <c r="L2125" s="9"/>
      <c r="M2125" s="9"/>
    </row>
    <row r="2126" spans="1:13">
      <c r="A2126" s="9"/>
      <c r="B2126" s="9"/>
      <c r="C2126" s="9"/>
      <c r="D2126" s="9"/>
      <c r="E2126" s="9"/>
      <c r="F2126" s="9"/>
      <c r="G2126" s="9"/>
      <c r="H2126" s="9"/>
      <c r="I2126" s="9"/>
      <c r="J2126" s="9"/>
      <c r="K2126" s="9"/>
      <c r="L2126" s="9"/>
      <c r="M2126" s="9"/>
    </row>
    <row r="2127" spans="1:13">
      <c r="A2127" s="9"/>
      <c r="B2127" s="9"/>
      <c r="C2127" s="9"/>
      <c r="D2127" s="9"/>
      <c r="E2127" s="9"/>
      <c r="F2127" s="9"/>
      <c r="G2127" s="9"/>
      <c r="H2127" s="9"/>
      <c r="I2127" s="9"/>
      <c r="J2127" s="9"/>
      <c r="K2127" s="9"/>
      <c r="L2127" s="9"/>
      <c r="M2127" s="9"/>
    </row>
    <row r="2128" spans="1:13">
      <c r="A2128" s="9"/>
      <c r="B2128" s="9"/>
      <c r="C2128" s="9"/>
      <c r="D2128" s="9"/>
      <c r="E2128" s="9"/>
      <c r="F2128" s="9"/>
      <c r="G2128" s="9"/>
      <c r="H2128" s="9"/>
      <c r="I2128" s="9"/>
      <c r="J2128" s="9"/>
      <c r="K2128" s="9"/>
      <c r="L2128" s="9"/>
      <c r="M2128" s="9"/>
    </row>
    <row r="2129" spans="1:13">
      <c r="A2129" s="9"/>
      <c r="B2129" s="9"/>
      <c r="C2129" s="9"/>
      <c r="D2129" s="9"/>
      <c r="E2129" s="9"/>
      <c r="F2129" s="9"/>
      <c r="G2129" s="9"/>
      <c r="H2129" s="9"/>
      <c r="I2129" s="9"/>
      <c r="J2129" s="9"/>
      <c r="K2129" s="9"/>
      <c r="L2129" s="9"/>
      <c r="M2129" s="9"/>
    </row>
    <row r="2130" spans="1:13">
      <c r="A2130" s="9"/>
      <c r="B2130" s="9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</row>
    <row r="2131" spans="1:13">
      <c r="A2131" s="9"/>
      <c r="B2131" s="9"/>
      <c r="C2131" s="9"/>
      <c r="D2131" s="9"/>
      <c r="E2131" s="9"/>
      <c r="F2131" s="9"/>
      <c r="G2131" s="9"/>
      <c r="H2131" s="9"/>
      <c r="I2131" s="9"/>
      <c r="J2131" s="9"/>
      <c r="K2131" s="9"/>
      <c r="L2131" s="9"/>
      <c r="M2131" s="9"/>
    </row>
    <row r="2132" spans="1:13">
      <c r="A2132" s="9"/>
      <c r="B2132" s="9"/>
      <c r="C2132" s="9"/>
      <c r="D2132" s="9"/>
      <c r="E2132" s="9"/>
      <c r="F2132" s="9"/>
      <c r="G2132" s="9"/>
      <c r="H2132" s="9"/>
      <c r="I2132" s="9"/>
      <c r="J2132" s="9"/>
      <c r="K2132" s="9"/>
      <c r="L2132" s="9"/>
      <c r="M2132" s="9"/>
    </row>
    <row r="2133" spans="1:13">
      <c r="A2133" s="9"/>
      <c r="B2133" s="9"/>
      <c r="C2133" s="9"/>
      <c r="D2133" s="9"/>
      <c r="E2133" s="9"/>
      <c r="F2133" s="9"/>
      <c r="G2133" s="9"/>
      <c r="H2133" s="9"/>
      <c r="I2133" s="9"/>
      <c r="J2133" s="9"/>
      <c r="K2133" s="9"/>
      <c r="L2133" s="9"/>
      <c r="M2133" s="9"/>
    </row>
    <row r="2134" spans="1:13">
      <c r="A2134" s="9"/>
      <c r="B2134" s="9"/>
      <c r="C2134" s="9"/>
      <c r="D2134" s="9"/>
      <c r="E2134" s="9"/>
      <c r="F2134" s="9"/>
      <c r="G2134" s="9"/>
      <c r="H2134" s="9"/>
      <c r="I2134" s="9"/>
      <c r="J2134" s="9"/>
      <c r="K2134" s="9"/>
      <c r="L2134" s="9"/>
      <c r="M2134" s="9"/>
    </row>
    <row r="2135" spans="1:13">
      <c r="A2135" s="9"/>
      <c r="B2135" s="9"/>
      <c r="C2135" s="9"/>
      <c r="D2135" s="9"/>
      <c r="E2135" s="9"/>
      <c r="F2135" s="9"/>
      <c r="G2135" s="9"/>
      <c r="H2135" s="9"/>
      <c r="I2135" s="9"/>
      <c r="J2135" s="9"/>
      <c r="K2135" s="9"/>
      <c r="L2135" s="9"/>
      <c r="M2135" s="9"/>
    </row>
    <row r="2136" spans="1:13">
      <c r="A2136" s="9"/>
      <c r="B2136" s="9"/>
      <c r="C2136" s="9"/>
      <c r="D2136" s="9"/>
      <c r="E2136" s="9"/>
      <c r="F2136" s="9"/>
      <c r="G2136" s="9"/>
      <c r="H2136" s="9"/>
      <c r="I2136" s="9"/>
      <c r="J2136" s="9"/>
      <c r="K2136" s="9"/>
      <c r="L2136" s="9"/>
      <c r="M2136" s="9"/>
    </row>
    <row r="2137" spans="1:13">
      <c r="A2137" s="9"/>
      <c r="B2137" s="9"/>
      <c r="C2137" s="9"/>
      <c r="D2137" s="9"/>
      <c r="E2137" s="9"/>
      <c r="F2137" s="9"/>
      <c r="G2137" s="9"/>
      <c r="H2137" s="9"/>
      <c r="I2137" s="9"/>
      <c r="J2137" s="9"/>
      <c r="K2137" s="9"/>
      <c r="L2137" s="9"/>
      <c r="M2137" s="9"/>
    </row>
    <row r="2138" spans="1:13">
      <c r="A2138" s="9"/>
      <c r="B2138" s="9"/>
      <c r="C2138" s="9"/>
      <c r="D2138" s="9"/>
      <c r="E2138" s="9"/>
      <c r="F2138" s="9"/>
      <c r="G2138" s="9"/>
      <c r="H2138" s="9"/>
      <c r="I2138" s="9"/>
      <c r="J2138" s="9"/>
      <c r="K2138" s="9"/>
      <c r="L2138" s="9"/>
      <c r="M2138" s="9"/>
    </row>
    <row r="2139" spans="1:13">
      <c r="A2139" s="9"/>
      <c r="B2139" s="9"/>
      <c r="C2139" s="9"/>
      <c r="D2139" s="9"/>
      <c r="E2139" s="9"/>
      <c r="F2139" s="9"/>
      <c r="G2139" s="9"/>
      <c r="H2139" s="9"/>
      <c r="I2139" s="9"/>
      <c r="J2139" s="9"/>
      <c r="K2139" s="9"/>
      <c r="L2139" s="9"/>
      <c r="M2139" s="9"/>
    </row>
    <row r="2140" spans="1:13">
      <c r="A2140" s="9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</row>
    <row r="2141" spans="1:13">
      <c r="A2141" s="9"/>
      <c r="B2141" s="9"/>
      <c r="C2141" s="9"/>
      <c r="D2141" s="9"/>
      <c r="E2141" s="9"/>
      <c r="F2141" s="9"/>
      <c r="G2141" s="9"/>
      <c r="H2141" s="9"/>
      <c r="I2141" s="9"/>
      <c r="J2141" s="9"/>
      <c r="K2141" s="9"/>
      <c r="L2141" s="9"/>
      <c r="M2141" s="9"/>
    </row>
    <row r="2142" spans="1:13">
      <c r="A2142" s="9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</row>
    <row r="2143" spans="1:13">
      <c r="A2143" s="9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</row>
    <row r="2144" spans="1:13">
      <c r="A2144" s="9"/>
      <c r="B2144" s="9"/>
      <c r="C2144" s="9"/>
      <c r="D2144" s="9"/>
      <c r="E2144" s="9"/>
      <c r="F2144" s="9"/>
      <c r="G2144" s="9"/>
      <c r="H2144" s="9"/>
      <c r="I2144" s="9"/>
      <c r="J2144" s="9"/>
      <c r="K2144" s="9"/>
      <c r="L2144" s="9"/>
      <c r="M2144" s="9"/>
    </row>
    <row r="2145" spans="1:13">
      <c r="A2145" s="9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</row>
    <row r="2146" spans="1:13">
      <c r="A2146" s="9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</row>
    <row r="2147" spans="1:13">
      <c r="A2147" s="9"/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</row>
    <row r="2148" spans="1:13">
      <c r="A2148" s="9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</row>
    <row r="2149" spans="1:13">
      <c r="A2149" s="9"/>
      <c r="B2149" s="9"/>
      <c r="C2149" s="9"/>
      <c r="D2149" s="9"/>
      <c r="E2149" s="9"/>
      <c r="F2149" s="9"/>
      <c r="G2149" s="9"/>
      <c r="H2149" s="9"/>
      <c r="I2149" s="9"/>
      <c r="J2149" s="9"/>
      <c r="K2149" s="9"/>
      <c r="L2149" s="9"/>
      <c r="M2149" s="9"/>
    </row>
    <row r="2150" spans="1:13">
      <c r="A2150" s="9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</row>
    <row r="2151" spans="1:13">
      <c r="A2151" s="9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</row>
    <row r="2152" spans="1:13">
      <c r="A2152" s="9"/>
      <c r="B2152" s="9"/>
      <c r="C2152" s="9"/>
      <c r="D2152" s="9"/>
      <c r="E2152" s="9"/>
      <c r="F2152" s="9"/>
      <c r="G2152" s="9"/>
      <c r="H2152" s="9"/>
      <c r="I2152" s="9"/>
      <c r="J2152" s="9"/>
      <c r="K2152" s="9"/>
      <c r="L2152" s="9"/>
      <c r="M2152" s="9"/>
    </row>
    <row r="2153" spans="1:13">
      <c r="A2153" s="9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</row>
    <row r="2154" spans="1:13">
      <c r="A2154" s="9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</row>
    <row r="2155" spans="1:13">
      <c r="A2155" s="9"/>
      <c r="B2155" s="9"/>
      <c r="C2155" s="9"/>
      <c r="D2155" s="9"/>
      <c r="E2155" s="9"/>
      <c r="F2155" s="9"/>
      <c r="G2155" s="9"/>
      <c r="H2155" s="9"/>
      <c r="I2155" s="9"/>
      <c r="J2155" s="9"/>
      <c r="K2155" s="9"/>
      <c r="L2155" s="9"/>
      <c r="M2155" s="9"/>
    </row>
    <row r="2156" spans="1:13">
      <c r="A2156" s="9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</row>
    <row r="2157" spans="1:13">
      <c r="A2157" s="9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</row>
    <row r="2158" spans="1:13">
      <c r="A2158" s="9"/>
      <c r="B2158" s="9"/>
      <c r="C2158" s="9"/>
      <c r="D2158" s="9"/>
      <c r="E2158" s="9"/>
      <c r="F2158" s="9"/>
      <c r="G2158" s="9"/>
      <c r="H2158" s="9"/>
      <c r="I2158" s="9"/>
      <c r="J2158" s="9"/>
      <c r="K2158" s="9"/>
      <c r="L2158" s="9"/>
      <c r="M2158" s="9"/>
    </row>
    <row r="2159" spans="1:13">
      <c r="A2159" s="9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</row>
    <row r="2160" spans="1:13">
      <c r="A2160" s="9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</row>
    <row r="2161" spans="1:13">
      <c r="A2161" s="9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</row>
    <row r="2162" spans="1:13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</row>
    <row r="2163" spans="1:13">
      <c r="A2163" s="9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</row>
    <row r="2164" spans="1:13">
      <c r="A2164" s="9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</row>
    <row r="2165" spans="1:13">
      <c r="A2165" s="9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</row>
    <row r="2166" spans="1:13">
      <c r="A2166" s="9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</row>
    <row r="2167" spans="1:13">
      <c r="A2167" s="9"/>
      <c r="B2167" s="9"/>
      <c r="C2167" s="9"/>
      <c r="D2167" s="9"/>
      <c r="E2167" s="9"/>
      <c r="F2167" s="9"/>
      <c r="G2167" s="9"/>
      <c r="H2167" s="9"/>
      <c r="I2167" s="9"/>
      <c r="J2167" s="9"/>
      <c r="K2167" s="9"/>
      <c r="L2167" s="9"/>
      <c r="M2167" s="9"/>
    </row>
    <row r="2168" spans="1:13">
      <c r="A2168" s="9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</row>
    <row r="2169" spans="1:13">
      <c r="A2169" s="9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</row>
    <row r="2170" spans="1:13">
      <c r="A2170" s="9"/>
      <c r="B2170" s="9"/>
      <c r="C2170" s="9"/>
      <c r="D2170" s="9"/>
      <c r="E2170" s="9"/>
      <c r="F2170" s="9"/>
      <c r="G2170" s="9"/>
      <c r="H2170" s="9"/>
      <c r="I2170" s="9"/>
      <c r="J2170" s="9"/>
      <c r="K2170" s="9"/>
      <c r="L2170" s="9"/>
      <c r="M2170" s="9"/>
    </row>
    <row r="2171" spans="1:13">
      <c r="A2171" s="9"/>
      <c r="B2171" s="9"/>
      <c r="C2171" s="9"/>
      <c r="D2171" s="9"/>
      <c r="E2171" s="9"/>
      <c r="F2171" s="9"/>
      <c r="G2171" s="9"/>
      <c r="H2171" s="9"/>
      <c r="I2171" s="9"/>
      <c r="J2171" s="9"/>
      <c r="K2171" s="9"/>
      <c r="L2171" s="9"/>
      <c r="M2171" s="9"/>
    </row>
    <row r="2172" spans="1:13">
      <c r="A2172" s="9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</row>
    <row r="2173" spans="1:13">
      <c r="A2173" s="9"/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</row>
    <row r="2174" spans="1:13">
      <c r="A2174" s="9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</row>
    <row r="2175" spans="1:13">
      <c r="A2175" s="9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</row>
    <row r="2176" spans="1:13">
      <c r="A2176" s="9"/>
      <c r="B2176" s="9"/>
      <c r="C2176" s="9"/>
      <c r="D2176" s="9"/>
      <c r="E2176" s="9"/>
      <c r="F2176" s="9"/>
      <c r="G2176" s="9"/>
      <c r="H2176" s="9"/>
      <c r="I2176" s="9"/>
      <c r="J2176" s="9"/>
      <c r="K2176" s="9"/>
      <c r="L2176" s="9"/>
      <c r="M2176" s="9"/>
    </row>
    <row r="2177" spans="1:13">
      <c r="A2177" s="9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</row>
    <row r="2178" spans="1:13">
      <c r="A2178" s="9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</row>
    <row r="2179" spans="1:13">
      <c r="A2179" s="9"/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</row>
    <row r="2180" spans="1:13">
      <c r="A2180" s="9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</row>
    <row r="2181" spans="1:13">
      <c r="A2181" s="9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</row>
    <row r="2182" spans="1:13">
      <c r="A2182" s="9"/>
      <c r="B2182" s="9"/>
      <c r="C2182" s="9"/>
      <c r="D2182" s="9"/>
      <c r="E2182" s="9"/>
      <c r="F2182" s="9"/>
      <c r="G2182" s="9"/>
      <c r="H2182" s="9"/>
      <c r="I2182" s="9"/>
      <c r="J2182" s="9"/>
      <c r="K2182" s="9"/>
      <c r="L2182" s="9"/>
      <c r="M2182" s="9"/>
    </row>
    <row r="2183" spans="1:13">
      <c r="A2183" s="9"/>
      <c r="B2183" s="9"/>
      <c r="C2183" s="9"/>
      <c r="D2183" s="9"/>
      <c r="E2183" s="9"/>
      <c r="F2183" s="9"/>
      <c r="G2183" s="9"/>
      <c r="H2183" s="9"/>
      <c r="I2183" s="9"/>
      <c r="J2183" s="9"/>
      <c r="K2183" s="9"/>
      <c r="L2183" s="9"/>
      <c r="M2183" s="9"/>
    </row>
    <row r="2184" spans="1:13">
      <c r="A2184" s="9"/>
      <c r="B2184" s="9"/>
      <c r="C2184" s="9"/>
      <c r="D2184" s="9"/>
      <c r="E2184" s="9"/>
      <c r="F2184" s="9"/>
      <c r="G2184" s="9"/>
      <c r="H2184" s="9"/>
      <c r="I2184" s="9"/>
      <c r="J2184" s="9"/>
      <c r="K2184" s="9"/>
      <c r="L2184" s="9"/>
      <c r="M2184" s="9"/>
    </row>
    <row r="2185" spans="1:13">
      <c r="A2185" s="9"/>
      <c r="B2185" s="9"/>
      <c r="C2185" s="9"/>
      <c r="D2185" s="9"/>
      <c r="E2185" s="9"/>
      <c r="F2185" s="9"/>
      <c r="G2185" s="9"/>
      <c r="H2185" s="9"/>
      <c r="I2185" s="9"/>
      <c r="J2185" s="9"/>
      <c r="K2185" s="9"/>
      <c r="L2185" s="9"/>
      <c r="M2185" s="9"/>
    </row>
    <row r="2186" spans="1:13">
      <c r="A2186" s="9"/>
      <c r="B2186" s="9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</row>
    <row r="2187" spans="1:13">
      <c r="A2187" s="9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</row>
    <row r="2188" spans="1:13">
      <c r="A2188" s="9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</row>
    <row r="2189" spans="1:13">
      <c r="A2189" s="9"/>
      <c r="B2189" s="9"/>
      <c r="C2189" s="9"/>
      <c r="D2189" s="9"/>
      <c r="E2189" s="9"/>
      <c r="F2189" s="9"/>
      <c r="G2189" s="9"/>
      <c r="H2189" s="9"/>
      <c r="I2189" s="9"/>
      <c r="J2189" s="9"/>
      <c r="K2189" s="9"/>
      <c r="L2189" s="9"/>
      <c r="M2189" s="9"/>
    </row>
    <row r="2190" spans="1:13">
      <c r="A2190" s="9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</row>
    <row r="2191" spans="1:13">
      <c r="A2191" s="9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</row>
    <row r="2192" spans="1:13">
      <c r="A2192" s="9"/>
      <c r="B2192" s="9"/>
      <c r="C2192" s="9"/>
      <c r="D2192" s="9"/>
      <c r="E2192" s="9"/>
      <c r="F2192" s="9"/>
      <c r="G2192" s="9"/>
      <c r="H2192" s="9"/>
      <c r="I2192" s="9"/>
      <c r="J2192" s="9"/>
      <c r="K2192" s="9"/>
      <c r="L2192" s="9"/>
      <c r="M2192" s="9"/>
    </row>
    <row r="2193" spans="1:13">
      <c r="A2193" s="9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</row>
    <row r="2194" spans="1:13">
      <c r="A2194" s="9"/>
      <c r="B2194" s="9"/>
      <c r="C2194" s="9"/>
      <c r="D2194" s="9"/>
      <c r="E2194" s="9"/>
      <c r="F2194" s="9"/>
      <c r="G2194" s="9"/>
      <c r="H2194" s="9"/>
      <c r="I2194" s="9"/>
      <c r="J2194" s="9"/>
      <c r="K2194" s="9"/>
      <c r="L2194" s="9"/>
      <c r="M2194" s="9"/>
    </row>
    <row r="2195" spans="1:13">
      <c r="A2195" s="9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</row>
    <row r="2196" spans="1:13">
      <c r="A2196" s="9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</row>
    <row r="2197" spans="1:13">
      <c r="A2197" s="9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</row>
    <row r="2198" spans="1:13">
      <c r="A2198" s="9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</row>
    <row r="2199" spans="1:13">
      <c r="A2199" s="9"/>
      <c r="B2199" s="9"/>
      <c r="C2199" s="9"/>
      <c r="D2199" s="9"/>
      <c r="E2199" s="9"/>
      <c r="F2199" s="9"/>
      <c r="G2199" s="9"/>
      <c r="H2199" s="9"/>
      <c r="I2199" s="9"/>
      <c r="J2199" s="9"/>
      <c r="K2199" s="9"/>
      <c r="L2199" s="9"/>
      <c r="M2199" s="9"/>
    </row>
    <row r="2200" spans="1:13">
      <c r="A2200" s="9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</row>
    <row r="2201" spans="1:13">
      <c r="A2201" s="9"/>
      <c r="B2201" s="9"/>
      <c r="C2201" s="9"/>
      <c r="D2201" s="9"/>
      <c r="E2201" s="9"/>
      <c r="F2201" s="9"/>
      <c r="G2201" s="9"/>
      <c r="H2201" s="9"/>
      <c r="I2201" s="9"/>
      <c r="J2201" s="9"/>
      <c r="K2201" s="9"/>
      <c r="L2201" s="9"/>
      <c r="M2201" s="9"/>
    </row>
    <row r="2202" spans="1:13">
      <c r="A2202" s="9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</row>
    <row r="2203" spans="1:13">
      <c r="A2203" s="9"/>
      <c r="B2203" s="9"/>
      <c r="C2203" s="9"/>
      <c r="D2203" s="9"/>
      <c r="E2203" s="9"/>
      <c r="F2203" s="9"/>
      <c r="G2203" s="9"/>
      <c r="H2203" s="9"/>
      <c r="I2203" s="9"/>
      <c r="J2203" s="9"/>
      <c r="K2203" s="9"/>
      <c r="L2203" s="9"/>
      <c r="M2203" s="9"/>
    </row>
    <row r="2204" spans="1:13">
      <c r="A2204" s="9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</row>
    <row r="2205" spans="1:13">
      <c r="A2205" s="9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</row>
    <row r="2206" spans="1:13">
      <c r="A2206" s="9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</row>
    <row r="2207" spans="1:13">
      <c r="A2207" s="9"/>
      <c r="B2207" s="9"/>
      <c r="C2207" s="9"/>
      <c r="D2207" s="9"/>
      <c r="E2207" s="9"/>
      <c r="F2207" s="9"/>
      <c r="G2207" s="9"/>
      <c r="H2207" s="9"/>
      <c r="I2207" s="9"/>
      <c r="J2207" s="9"/>
      <c r="K2207" s="9"/>
      <c r="L2207" s="9"/>
      <c r="M2207" s="9"/>
    </row>
    <row r="2208" spans="1:13">
      <c r="A2208" s="9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</row>
    <row r="2209" spans="1:13">
      <c r="A2209" s="9"/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</row>
    <row r="2210" spans="1:13">
      <c r="A2210" s="9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</row>
    <row r="2211" spans="1:13">
      <c r="A2211" s="9"/>
      <c r="B2211" s="9"/>
      <c r="C2211" s="9"/>
      <c r="D2211" s="9"/>
      <c r="E2211" s="9"/>
      <c r="F2211" s="9"/>
      <c r="G2211" s="9"/>
      <c r="H2211" s="9"/>
      <c r="I2211" s="9"/>
      <c r="J2211" s="9"/>
      <c r="K2211" s="9"/>
      <c r="L2211" s="9"/>
      <c r="M2211" s="9"/>
    </row>
    <row r="2212" spans="1:13">
      <c r="A2212" s="9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</row>
    <row r="2213" spans="1:13">
      <c r="A2213" s="9"/>
      <c r="B2213" s="9"/>
      <c r="C2213" s="9"/>
      <c r="D2213" s="9"/>
      <c r="E2213" s="9"/>
      <c r="F2213" s="9"/>
      <c r="G2213" s="9"/>
      <c r="H2213" s="9"/>
      <c r="I2213" s="9"/>
      <c r="J2213" s="9"/>
      <c r="K2213" s="9"/>
      <c r="L2213" s="9"/>
      <c r="M2213" s="9"/>
    </row>
    <row r="2214" spans="1:13">
      <c r="A2214" s="9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</row>
    <row r="2215" spans="1:13">
      <c r="A2215" s="9"/>
      <c r="B2215" s="9"/>
      <c r="C2215" s="9"/>
      <c r="D2215" s="9"/>
      <c r="E2215" s="9"/>
      <c r="F2215" s="9"/>
      <c r="G2215" s="9"/>
      <c r="H2215" s="9"/>
      <c r="I2215" s="9"/>
      <c r="J2215" s="9"/>
      <c r="K2215" s="9"/>
      <c r="L2215" s="9"/>
      <c r="M2215" s="9"/>
    </row>
    <row r="2216" spans="1:13">
      <c r="A2216" s="9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</row>
    <row r="2217" spans="1:13">
      <c r="A2217" s="9"/>
      <c r="B2217" s="9"/>
      <c r="C2217" s="9"/>
      <c r="D2217" s="9"/>
      <c r="E2217" s="9"/>
      <c r="F2217" s="9"/>
      <c r="G2217" s="9"/>
      <c r="H2217" s="9"/>
      <c r="I2217" s="9"/>
      <c r="J2217" s="9"/>
      <c r="K2217" s="9"/>
      <c r="L2217" s="9"/>
      <c r="M2217" s="9"/>
    </row>
    <row r="2218" spans="1:13">
      <c r="A2218" s="9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</row>
    <row r="2219" spans="1:13">
      <c r="A2219" s="9"/>
      <c r="B2219" s="9"/>
      <c r="C2219" s="9"/>
      <c r="D2219" s="9"/>
      <c r="E2219" s="9"/>
      <c r="F2219" s="9"/>
      <c r="G2219" s="9"/>
      <c r="H2219" s="9"/>
      <c r="I2219" s="9"/>
      <c r="J2219" s="9"/>
      <c r="K2219" s="9"/>
      <c r="L2219" s="9"/>
      <c r="M2219" s="9"/>
    </row>
    <row r="2220" spans="1:13">
      <c r="A2220" s="9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</row>
    <row r="2221" spans="1:13">
      <c r="A2221" s="9"/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</row>
    <row r="2222" spans="1:13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</row>
    <row r="2223" spans="1:13">
      <c r="A2223" s="9"/>
      <c r="B2223" s="9"/>
      <c r="C2223" s="9"/>
      <c r="D2223" s="9"/>
      <c r="E2223" s="9"/>
      <c r="F2223" s="9"/>
      <c r="G2223" s="9"/>
      <c r="H2223" s="9"/>
      <c r="I2223" s="9"/>
      <c r="J2223" s="9"/>
      <c r="K2223" s="9"/>
      <c r="L2223" s="9"/>
      <c r="M2223" s="9"/>
    </row>
    <row r="2224" spans="1:13">
      <c r="A2224" s="9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</row>
    <row r="2225" spans="1:13">
      <c r="A2225" s="9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</row>
    <row r="2226" spans="1:13">
      <c r="A2226" s="9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</row>
    <row r="2227" spans="1:13">
      <c r="A2227" s="9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</row>
    <row r="2228" spans="1:13">
      <c r="A2228" s="9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</row>
    <row r="2229" spans="1:13">
      <c r="A2229" s="9"/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</row>
    <row r="2230" spans="1:13">
      <c r="A2230" s="9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</row>
    <row r="2231" spans="1:13">
      <c r="A2231" s="9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</row>
    <row r="2232" spans="1:13">
      <c r="A2232" s="9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</row>
    <row r="2233" spans="1:13">
      <c r="A2233" s="9"/>
      <c r="B2233" s="9"/>
      <c r="C2233" s="9"/>
      <c r="D2233" s="9"/>
      <c r="E2233" s="9"/>
      <c r="F2233" s="9"/>
      <c r="G2233" s="9"/>
      <c r="H2233" s="9"/>
      <c r="I2233" s="9"/>
      <c r="J2233" s="9"/>
      <c r="K2233" s="9"/>
      <c r="L2233" s="9"/>
      <c r="M2233" s="9"/>
    </row>
    <row r="2234" spans="1:13">
      <c r="A2234" s="9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</row>
    <row r="2235" spans="1:13">
      <c r="A2235" s="9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</row>
    <row r="2236" spans="1:13">
      <c r="A2236" s="9"/>
      <c r="B2236" s="9"/>
      <c r="C2236" s="9"/>
      <c r="D2236" s="9"/>
      <c r="E2236" s="9"/>
      <c r="F2236" s="9"/>
      <c r="G2236" s="9"/>
      <c r="H2236" s="9"/>
      <c r="I2236" s="9"/>
      <c r="J2236" s="9"/>
      <c r="K2236" s="9"/>
      <c r="L2236" s="9"/>
      <c r="M2236" s="9"/>
    </row>
    <row r="2237" spans="1:13">
      <c r="A2237" s="9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</row>
    <row r="2238" spans="1:13">
      <c r="A2238" s="9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</row>
    <row r="2239" spans="1:13">
      <c r="A2239" s="9"/>
      <c r="B2239" s="9"/>
      <c r="C2239" s="9"/>
      <c r="D2239" s="9"/>
      <c r="E2239" s="9"/>
      <c r="F2239" s="9"/>
      <c r="G2239" s="9"/>
      <c r="H2239" s="9"/>
      <c r="I2239" s="9"/>
      <c r="J2239" s="9"/>
      <c r="K2239" s="9"/>
      <c r="L2239" s="9"/>
      <c r="M2239" s="9"/>
    </row>
    <row r="2240" spans="1:13">
      <c r="A2240" s="9"/>
      <c r="B2240" s="9"/>
      <c r="C2240" s="9"/>
      <c r="D2240" s="9"/>
      <c r="E2240" s="9"/>
      <c r="F2240" s="9"/>
      <c r="G2240" s="9"/>
      <c r="H2240" s="9"/>
      <c r="I2240" s="9"/>
      <c r="J2240" s="9"/>
      <c r="K2240" s="9"/>
      <c r="L2240" s="9"/>
      <c r="M2240" s="9"/>
    </row>
    <row r="2241" spans="1:13">
      <c r="A2241" s="9"/>
      <c r="B2241" s="9"/>
      <c r="C2241" s="9"/>
      <c r="D2241" s="9"/>
      <c r="E2241" s="9"/>
      <c r="F2241" s="9"/>
      <c r="G2241" s="9"/>
      <c r="H2241" s="9"/>
      <c r="I2241" s="9"/>
      <c r="J2241" s="9"/>
      <c r="K2241" s="9"/>
      <c r="L2241" s="9"/>
      <c r="M2241" s="9"/>
    </row>
    <row r="2242" spans="1:13">
      <c r="A2242" s="9"/>
      <c r="B2242" s="9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</row>
    <row r="2243" spans="1:13">
      <c r="A2243" s="9"/>
      <c r="B2243" s="9"/>
      <c r="C2243" s="9"/>
      <c r="D2243" s="9"/>
      <c r="E2243" s="9"/>
      <c r="F2243" s="9"/>
      <c r="G2243" s="9"/>
      <c r="H2243" s="9"/>
      <c r="I2243" s="9"/>
      <c r="J2243" s="9"/>
      <c r="K2243" s="9"/>
      <c r="L2243" s="9"/>
      <c r="M2243" s="9"/>
    </row>
    <row r="2244" spans="1:13">
      <c r="A2244" s="9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</row>
    <row r="2245" spans="1:13">
      <c r="A2245" s="9"/>
      <c r="B2245" s="9"/>
      <c r="C2245" s="9"/>
      <c r="D2245" s="9"/>
      <c r="E2245" s="9"/>
      <c r="F2245" s="9"/>
      <c r="G2245" s="9"/>
      <c r="H2245" s="9"/>
      <c r="I2245" s="9"/>
      <c r="J2245" s="9"/>
      <c r="K2245" s="9"/>
      <c r="L2245" s="9"/>
      <c r="M2245" s="9"/>
    </row>
    <row r="2246" spans="1:13">
      <c r="A2246" s="9"/>
      <c r="B2246" s="9"/>
      <c r="C2246" s="9"/>
      <c r="D2246" s="9"/>
      <c r="E2246" s="9"/>
      <c r="F2246" s="9"/>
      <c r="G2246" s="9"/>
      <c r="H2246" s="9"/>
      <c r="I2246" s="9"/>
      <c r="J2246" s="9"/>
      <c r="K2246" s="9"/>
      <c r="L2246" s="9"/>
      <c r="M2246" s="9"/>
    </row>
    <row r="2247" spans="1:13">
      <c r="A2247" s="9"/>
      <c r="B2247" s="9"/>
      <c r="C2247" s="9"/>
      <c r="D2247" s="9"/>
      <c r="E2247" s="9"/>
      <c r="F2247" s="9"/>
      <c r="G2247" s="9"/>
      <c r="H2247" s="9"/>
      <c r="I2247" s="9"/>
      <c r="J2247" s="9"/>
      <c r="K2247" s="9"/>
      <c r="L2247" s="9"/>
      <c r="M2247" s="9"/>
    </row>
    <row r="2248" spans="1:13">
      <c r="A2248" s="9"/>
      <c r="B2248" s="9"/>
      <c r="C2248" s="9"/>
      <c r="D2248" s="9"/>
      <c r="E2248" s="9"/>
      <c r="F2248" s="9"/>
      <c r="G2248" s="9"/>
      <c r="H2248" s="9"/>
      <c r="I2248" s="9"/>
      <c r="J2248" s="9"/>
      <c r="K2248" s="9"/>
      <c r="L2248" s="9"/>
      <c r="M2248" s="9"/>
    </row>
    <row r="2249" spans="1:13">
      <c r="A2249" s="9"/>
      <c r="B2249" s="9"/>
      <c r="C2249" s="9"/>
      <c r="D2249" s="9"/>
      <c r="E2249" s="9"/>
      <c r="F2249" s="9"/>
      <c r="G2249" s="9"/>
      <c r="H2249" s="9"/>
      <c r="I2249" s="9"/>
      <c r="J2249" s="9"/>
      <c r="K2249" s="9"/>
      <c r="L2249" s="9"/>
      <c r="M2249" s="9"/>
    </row>
    <row r="2250" spans="1:13">
      <c r="A2250" s="9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</row>
    <row r="2251" spans="1:13">
      <c r="A2251" s="9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</row>
    <row r="2252" spans="1:13">
      <c r="A2252" s="9"/>
      <c r="B2252" s="9"/>
      <c r="C2252" s="9"/>
      <c r="D2252" s="9"/>
      <c r="E2252" s="9"/>
      <c r="F2252" s="9"/>
      <c r="G2252" s="9"/>
      <c r="H2252" s="9"/>
      <c r="I2252" s="9"/>
      <c r="J2252" s="9"/>
      <c r="K2252" s="9"/>
      <c r="L2252" s="9"/>
      <c r="M2252" s="9"/>
    </row>
    <row r="2253" spans="1:13">
      <c r="A2253" s="9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</row>
    <row r="2254" spans="1:13">
      <c r="A2254" s="9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</row>
    <row r="2255" spans="1:13">
      <c r="A2255" s="9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</row>
    <row r="2256" spans="1:13">
      <c r="A2256" s="9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</row>
    <row r="2257" spans="1:13">
      <c r="A2257" s="9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</row>
    <row r="2258" spans="1:13">
      <c r="A2258" s="9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</row>
    <row r="2259" spans="1:13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</row>
    <row r="2260" spans="1:13">
      <c r="A2260" s="9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</row>
    <row r="2261" spans="1:13">
      <c r="A2261" s="9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</row>
    <row r="2262" spans="1:13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9"/>
      <c r="L2262" s="9"/>
      <c r="M2262" s="9"/>
    </row>
    <row r="2263" spans="1:13">
      <c r="A2263" s="9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</row>
    <row r="2264" spans="1:13">
      <c r="A2264" s="9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</row>
    <row r="2265" spans="1:13">
      <c r="A2265" s="9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</row>
    <row r="2266" spans="1:13">
      <c r="A2266" s="9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</row>
    <row r="2267" spans="1:13">
      <c r="A2267" s="9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</row>
    <row r="2268" spans="1:13">
      <c r="A2268" s="9"/>
      <c r="B2268" s="9"/>
      <c r="C2268" s="9"/>
      <c r="D2268" s="9"/>
      <c r="E2268" s="9"/>
      <c r="F2268" s="9"/>
      <c r="G2268" s="9"/>
      <c r="H2268" s="9"/>
      <c r="I2268" s="9"/>
      <c r="J2268" s="9"/>
      <c r="K2268" s="9"/>
      <c r="L2268" s="9"/>
      <c r="M2268" s="9"/>
    </row>
    <row r="2269" spans="1:13">
      <c r="A2269" s="9"/>
      <c r="B2269" s="9"/>
      <c r="C2269" s="9"/>
      <c r="D2269" s="9"/>
      <c r="E2269" s="9"/>
      <c r="F2269" s="9"/>
      <c r="G2269" s="9"/>
      <c r="H2269" s="9"/>
      <c r="I2269" s="9"/>
      <c r="J2269" s="9"/>
      <c r="K2269" s="9"/>
      <c r="L2269" s="9"/>
      <c r="M2269" s="9"/>
    </row>
    <row r="2270" spans="1:13">
      <c r="A2270" s="9"/>
      <c r="B2270" s="9"/>
      <c r="C2270" s="9"/>
      <c r="D2270" s="9"/>
      <c r="E2270" s="9"/>
      <c r="F2270" s="9"/>
      <c r="G2270" s="9"/>
      <c r="H2270" s="9"/>
      <c r="I2270" s="9"/>
      <c r="J2270" s="9"/>
      <c r="K2270" s="9"/>
      <c r="L2270" s="9"/>
      <c r="M2270" s="9"/>
    </row>
    <row r="2271" spans="1:13">
      <c r="A2271" s="9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</row>
    <row r="2272" spans="1:13">
      <c r="A2272" s="9"/>
      <c r="B2272" s="9"/>
      <c r="C2272" s="9"/>
      <c r="D2272" s="9"/>
      <c r="E2272" s="9"/>
      <c r="F2272" s="9"/>
      <c r="G2272" s="9"/>
      <c r="H2272" s="9"/>
      <c r="I2272" s="9"/>
      <c r="J2272" s="9"/>
      <c r="K2272" s="9"/>
      <c r="L2272" s="9"/>
      <c r="M2272" s="9"/>
    </row>
    <row r="2273" spans="1:13">
      <c r="A2273" s="9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</row>
    <row r="2274" spans="1:13">
      <c r="A2274" s="9"/>
      <c r="B2274" s="9"/>
      <c r="C2274" s="9"/>
      <c r="D2274" s="9"/>
      <c r="E2274" s="9"/>
      <c r="F2274" s="9"/>
      <c r="G2274" s="9"/>
      <c r="H2274" s="9"/>
      <c r="I2274" s="9"/>
      <c r="J2274" s="9"/>
      <c r="K2274" s="9"/>
      <c r="L2274" s="9"/>
      <c r="M2274" s="9"/>
    </row>
    <row r="2275" spans="1:13">
      <c r="A2275" s="9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</row>
    <row r="2276" spans="1:13">
      <c r="A2276" s="9"/>
      <c r="B2276" s="9"/>
      <c r="C2276" s="9"/>
      <c r="D2276" s="9"/>
      <c r="E2276" s="9"/>
      <c r="F2276" s="9"/>
      <c r="G2276" s="9"/>
      <c r="H2276" s="9"/>
      <c r="I2276" s="9"/>
      <c r="J2276" s="9"/>
      <c r="K2276" s="9"/>
      <c r="L2276" s="9"/>
      <c r="M2276" s="9"/>
    </row>
    <row r="2277" spans="1:13">
      <c r="A2277" s="9"/>
      <c r="B2277" s="9"/>
      <c r="C2277" s="9"/>
      <c r="D2277" s="9"/>
      <c r="E2277" s="9"/>
      <c r="F2277" s="9"/>
      <c r="G2277" s="9"/>
      <c r="H2277" s="9"/>
      <c r="I2277" s="9"/>
      <c r="J2277" s="9"/>
      <c r="K2277" s="9"/>
      <c r="L2277" s="9"/>
      <c r="M2277" s="9"/>
    </row>
    <row r="2278" spans="1:13">
      <c r="A2278" s="9"/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s="9"/>
    </row>
    <row r="2279" spans="1:13">
      <c r="A2279" s="9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</row>
    <row r="2280" spans="1:13">
      <c r="A2280" s="9"/>
      <c r="B2280" s="9"/>
      <c r="C2280" s="9"/>
      <c r="D2280" s="9"/>
      <c r="E2280" s="9"/>
      <c r="F2280" s="9"/>
      <c r="G2280" s="9"/>
      <c r="H2280" s="9"/>
      <c r="I2280" s="9"/>
      <c r="J2280" s="9"/>
      <c r="K2280" s="9"/>
      <c r="L2280" s="9"/>
      <c r="M2280" s="9"/>
    </row>
    <row r="2281" spans="1:13">
      <c r="A2281" s="9"/>
      <c r="B2281" s="9"/>
      <c r="C2281" s="9"/>
      <c r="D2281" s="9"/>
      <c r="E2281" s="9"/>
      <c r="F2281" s="9"/>
      <c r="G2281" s="9"/>
      <c r="H2281" s="9"/>
      <c r="I2281" s="9"/>
      <c r="J2281" s="9"/>
      <c r="K2281" s="9"/>
      <c r="L2281" s="9"/>
      <c r="M2281" s="9"/>
    </row>
    <row r="2282" spans="1:13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</row>
    <row r="2283" spans="1:13">
      <c r="A2283" s="9"/>
      <c r="B2283" s="9"/>
      <c r="C2283" s="9"/>
      <c r="D2283" s="9"/>
      <c r="E2283" s="9"/>
      <c r="F2283" s="9"/>
      <c r="G2283" s="9"/>
      <c r="H2283" s="9"/>
      <c r="I2283" s="9"/>
      <c r="J2283" s="9"/>
      <c r="K2283" s="9"/>
      <c r="L2283" s="9"/>
      <c r="M2283" s="9"/>
    </row>
    <row r="2284" spans="1:13">
      <c r="A2284" s="9"/>
      <c r="B2284" s="9"/>
      <c r="C2284" s="9"/>
      <c r="D2284" s="9"/>
      <c r="E2284" s="9"/>
      <c r="F2284" s="9"/>
      <c r="G2284" s="9"/>
      <c r="H2284" s="9"/>
      <c r="I2284" s="9"/>
      <c r="J2284" s="9"/>
      <c r="K2284" s="9"/>
      <c r="L2284" s="9"/>
      <c r="M2284" s="9"/>
    </row>
    <row r="2285" spans="1:13">
      <c r="A2285" s="9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</row>
    <row r="2286" spans="1:13">
      <c r="A2286" s="9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</row>
    <row r="2287" spans="1:13">
      <c r="A2287" s="9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</row>
    <row r="2288" spans="1:13">
      <c r="A2288" s="9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</row>
    <row r="2289" spans="1:13">
      <c r="A2289" s="9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</row>
    <row r="2290" spans="1:13">
      <c r="A2290" s="9"/>
      <c r="B2290" s="9"/>
      <c r="C2290" s="9"/>
      <c r="D2290" s="9"/>
      <c r="E2290" s="9"/>
      <c r="F2290" s="9"/>
      <c r="G2290" s="9"/>
      <c r="H2290" s="9"/>
      <c r="I2290" s="9"/>
      <c r="J2290" s="9"/>
      <c r="K2290" s="9"/>
      <c r="L2290" s="9"/>
      <c r="M2290" s="9"/>
    </row>
    <row r="2291" spans="1:13">
      <c r="A2291" s="9"/>
      <c r="B2291" s="9"/>
      <c r="C2291" s="9"/>
      <c r="D2291" s="9"/>
      <c r="E2291" s="9"/>
      <c r="F2291" s="9"/>
      <c r="G2291" s="9"/>
      <c r="H2291" s="9"/>
      <c r="I2291" s="9"/>
      <c r="J2291" s="9"/>
      <c r="K2291" s="9"/>
      <c r="L2291" s="9"/>
      <c r="M2291" s="9"/>
    </row>
    <row r="2292" spans="1:13">
      <c r="A2292" s="9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</row>
    <row r="2293" spans="1:13">
      <c r="A2293" s="9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</row>
    <row r="2294" spans="1:13">
      <c r="A2294" s="9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</row>
    <row r="2295" spans="1:13">
      <c r="A2295" s="9"/>
      <c r="B2295" s="9"/>
      <c r="C2295" s="9"/>
      <c r="D2295" s="9"/>
      <c r="E2295" s="9"/>
      <c r="F2295" s="9"/>
      <c r="G2295" s="9"/>
      <c r="H2295" s="9"/>
      <c r="I2295" s="9"/>
      <c r="J2295" s="9"/>
      <c r="K2295" s="9"/>
      <c r="L2295" s="9"/>
      <c r="M2295" s="9"/>
    </row>
    <row r="2296" spans="1:13">
      <c r="A2296" s="9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</row>
    <row r="2297" spans="1:13">
      <c r="A2297" s="9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</row>
    <row r="2298" spans="1:13">
      <c r="A2298" s="9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</row>
    <row r="2299" spans="1:13">
      <c r="A2299" s="9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</row>
    <row r="2300" spans="1:13">
      <c r="A2300" s="9"/>
      <c r="B2300" s="9"/>
      <c r="C2300" s="9"/>
      <c r="D2300" s="9"/>
      <c r="E2300" s="9"/>
      <c r="F2300" s="9"/>
      <c r="G2300" s="9"/>
      <c r="H2300" s="9"/>
      <c r="I2300" s="9"/>
      <c r="J2300" s="9"/>
      <c r="K2300" s="9"/>
      <c r="L2300" s="9"/>
      <c r="M2300" s="9"/>
    </row>
    <row r="2301" spans="1:13">
      <c r="A2301" s="9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</row>
    <row r="2302" spans="1:13">
      <c r="A2302" s="9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</row>
    <row r="2303" spans="1:13">
      <c r="A2303" s="9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</row>
    <row r="2304" spans="1:13">
      <c r="A2304" s="9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</row>
    <row r="2305" spans="1:13">
      <c r="A2305" s="9"/>
      <c r="B2305" s="9"/>
      <c r="C2305" s="9"/>
      <c r="D2305" s="9"/>
      <c r="E2305" s="9"/>
      <c r="F2305" s="9"/>
      <c r="G2305" s="9"/>
      <c r="H2305" s="9"/>
      <c r="I2305" s="9"/>
      <c r="J2305" s="9"/>
      <c r="K2305" s="9"/>
      <c r="L2305" s="9"/>
      <c r="M2305" s="9"/>
    </row>
    <row r="2306" spans="1:13">
      <c r="A2306" s="9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</row>
    <row r="2307" spans="1:13">
      <c r="A2307" s="9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</row>
    <row r="2308" spans="1:13">
      <c r="A2308" s="9"/>
      <c r="B2308" s="9"/>
      <c r="C2308" s="9"/>
      <c r="D2308" s="9"/>
      <c r="E2308" s="9"/>
      <c r="F2308" s="9"/>
      <c r="G2308" s="9"/>
      <c r="H2308" s="9"/>
      <c r="I2308" s="9"/>
      <c r="J2308" s="9"/>
      <c r="K2308" s="9"/>
      <c r="L2308" s="9"/>
      <c r="M2308" s="9"/>
    </row>
    <row r="2309" spans="1:13">
      <c r="A2309" s="9"/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</row>
    <row r="2310" spans="1:13">
      <c r="A2310" s="9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</row>
    <row r="2311" spans="1:13">
      <c r="A2311" s="9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</row>
    <row r="2312" spans="1:13">
      <c r="A2312" s="9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</row>
    <row r="2313" spans="1:13">
      <c r="A2313" s="9"/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</row>
    <row r="2314" spans="1:13">
      <c r="A2314" s="9"/>
      <c r="B2314" s="9"/>
      <c r="C2314" s="9"/>
      <c r="D2314" s="9"/>
      <c r="E2314" s="9"/>
      <c r="F2314" s="9"/>
      <c r="G2314" s="9"/>
      <c r="H2314" s="9"/>
      <c r="I2314" s="9"/>
      <c r="J2314" s="9"/>
      <c r="K2314" s="9"/>
      <c r="L2314" s="9"/>
      <c r="M2314" s="9"/>
    </row>
    <row r="2315" spans="1:13">
      <c r="A2315" s="9"/>
      <c r="B2315" s="9"/>
      <c r="C2315" s="9"/>
      <c r="D2315" s="9"/>
      <c r="E2315" s="9"/>
      <c r="F2315" s="9"/>
      <c r="G2315" s="9"/>
      <c r="H2315" s="9"/>
      <c r="I2315" s="9"/>
      <c r="J2315" s="9"/>
      <c r="K2315" s="9"/>
      <c r="L2315" s="9"/>
      <c r="M2315" s="9"/>
    </row>
    <row r="2316" spans="1:13">
      <c r="A2316" s="9"/>
      <c r="B2316" s="9"/>
      <c r="C2316" s="9"/>
      <c r="D2316" s="9"/>
      <c r="E2316" s="9"/>
      <c r="F2316" s="9"/>
      <c r="G2316" s="9"/>
      <c r="H2316" s="9"/>
      <c r="I2316" s="9"/>
      <c r="J2316" s="9"/>
      <c r="K2316" s="9"/>
      <c r="L2316" s="9"/>
      <c r="M2316" s="9"/>
    </row>
    <row r="2317" spans="1:13">
      <c r="A2317" s="9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</row>
    <row r="2318" spans="1:13">
      <c r="A2318" s="9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</row>
    <row r="2319" spans="1:13">
      <c r="A2319" s="9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</row>
    <row r="2320" spans="1:13">
      <c r="A2320" s="9"/>
      <c r="B2320" s="9"/>
      <c r="C2320" s="9"/>
      <c r="D2320" s="9"/>
      <c r="E2320" s="9"/>
      <c r="F2320" s="9"/>
      <c r="G2320" s="9"/>
      <c r="H2320" s="9"/>
      <c r="I2320" s="9"/>
      <c r="J2320" s="9"/>
      <c r="K2320" s="9"/>
      <c r="L2320" s="9"/>
      <c r="M2320" s="9"/>
    </row>
    <row r="2321" spans="1:13">
      <c r="A2321" s="9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</row>
    <row r="2322" spans="1:13">
      <c r="A2322" s="9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</row>
    <row r="2323" spans="1:13">
      <c r="A2323" s="9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</row>
    <row r="2324" spans="1:13">
      <c r="A2324" s="9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</row>
    <row r="2325" spans="1:13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9"/>
      <c r="L2325" s="9"/>
      <c r="M2325" s="9"/>
    </row>
    <row r="2326" spans="1:13">
      <c r="A2326" s="9"/>
      <c r="B2326" s="9"/>
      <c r="C2326" s="9"/>
      <c r="D2326" s="9"/>
      <c r="E2326" s="9"/>
      <c r="F2326" s="9"/>
      <c r="G2326" s="9"/>
      <c r="H2326" s="9"/>
      <c r="I2326" s="9"/>
      <c r="J2326" s="9"/>
      <c r="K2326" s="9"/>
      <c r="L2326" s="9"/>
      <c r="M2326" s="9"/>
    </row>
    <row r="2327" spans="1:13">
      <c r="A2327" s="9"/>
      <c r="B2327" s="9"/>
      <c r="C2327" s="9"/>
      <c r="D2327" s="9"/>
      <c r="E2327" s="9"/>
      <c r="F2327" s="9"/>
      <c r="G2327" s="9"/>
      <c r="H2327" s="9"/>
      <c r="I2327" s="9"/>
      <c r="J2327" s="9"/>
      <c r="K2327" s="9"/>
      <c r="L2327" s="9"/>
      <c r="M2327" s="9"/>
    </row>
    <row r="2328" spans="1:13">
      <c r="A2328" s="9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</row>
    <row r="2329" spans="1:13">
      <c r="A2329" s="9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</row>
    <row r="2330" spans="1:13">
      <c r="A2330" s="9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</row>
    <row r="2331" spans="1:13">
      <c r="A2331" s="9"/>
      <c r="B2331" s="9"/>
      <c r="C2331" s="9"/>
      <c r="D2331" s="9"/>
      <c r="E2331" s="9"/>
      <c r="F2331" s="9"/>
      <c r="G2331" s="9"/>
      <c r="H2331" s="9"/>
      <c r="I2331" s="9"/>
      <c r="J2331" s="9"/>
      <c r="K2331" s="9"/>
      <c r="L2331" s="9"/>
      <c r="M2331" s="9"/>
    </row>
    <row r="2332" spans="1:13">
      <c r="A2332" s="9"/>
      <c r="B2332" s="9"/>
      <c r="C2332" s="9"/>
      <c r="D2332" s="9"/>
      <c r="E2332" s="9"/>
      <c r="F2332" s="9"/>
      <c r="G2332" s="9"/>
      <c r="H2332" s="9"/>
      <c r="I2332" s="9"/>
      <c r="J2332" s="9"/>
      <c r="K2332" s="9"/>
      <c r="L2332" s="9"/>
      <c r="M2332" s="9"/>
    </row>
    <row r="2333" spans="1:13">
      <c r="A2333" s="9"/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</row>
    <row r="2334" spans="1:13">
      <c r="A2334" s="9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</row>
    <row r="2335" spans="1:13">
      <c r="A2335" s="9"/>
      <c r="B2335" s="9"/>
      <c r="C2335" s="9"/>
      <c r="D2335" s="9"/>
      <c r="E2335" s="9"/>
      <c r="F2335" s="9"/>
      <c r="G2335" s="9"/>
      <c r="H2335" s="9"/>
      <c r="I2335" s="9"/>
      <c r="J2335" s="9"/>
      <c r="K2335" s="9"/>
      <c r="L2335" s="9"/>
      <c r="M2335" s="9"/>
    </row>
    <row r="2336" spans="1:13">
      <c r="A2336" s="9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</row>
    <row r="2337" spans="1:13">
      <c r="A2337" s="9"/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</row>
    <row r="2338" spans="1:13">
      <c r="A2338" s="9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</row>
    <row r="2339" spans="1:13">
      <c r="A2339" s="9"/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</row>
    <row r="2340" spans="1:13">
      <c r="A2340" s="9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</row>
    <row r="2341" spans="1:13">
      <c r="A2341" s="9"/>
      <c r="B2341" s="9"/>
      <c r="C2341" s="9"/>
      <c r="D2341" s="9"/>
      <c r="E2341" s="9"/>
      <c r="F2341" s="9"/>
      <c r="G2341" s="9"/>
      <c r="H2341" s="9"/>
      <c r="I2341" s="9"/>
      <c r="J2341" s="9"/>
      <c r="K2341" s="9"/>
      <c r="L2341" s="9"/>
      <c r="M2341" s="9"/>
    </row>
    <row r="2342" spans="1:13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</row>
    <row r="2343" spans="1:13">
      <c r="A2343" s="9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</row>
    <row r="2344" spans="1:13">
      <c r="A2344" s="9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</row>
    <row r="2345" spans="1:13">
      <c r="A2345" s="9"/>
      <c r="B2345" s="9"/>
      <c r="C2345" s="9"/>
      <c r="D2345" s="9"/>
      <c r="E2345" s="9"/>
      <c r="F2345" s="9"/>
      <c r="G2345" s="9"/>
      <c r="H2345" s="9"/>
      <c r="I2345" s="9"/>
      <c r="J2345" s="9"/>
      <c r="K2345" s="9"/>
      <c r="L2345" s="9"/>
      <c r="M2345" s="9"/>
    </row>
    <row r="2346" spans="1:13">
      <c r="A2346" s="9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</row>
    <row r="2347" spans="1:13">
      <c r="A2347" s="9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</row>
    <row r="2348" spans="1:13">
      <c r="A2348" s="9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</row>
    <row r="2349" spans="1:13">
      <c r="A2349" s="9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</row>
    <row r="2350" spans="1:13">
      <c r="A2350" s="9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</row>
    <row r="2351" spans="1:13">
      <c r="A2351" s="9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</row>
    <row r="2352" spans="1:13">
      <c r="A2352" s="9"/>
      <c r="B2352" s="9"/>
      <c r="C2352" s="9"/>
      <c r="D2352" s="9"/>
      <c r="E2352" s="9"/>
      <c r="F2352" s="9"/>
      <c r="G2352" s="9"/>
      <c r="H2352" s="9"/>
      <c r="I2352" s="9"/>
      <c r="J2352" s="9"/>
      <c r="K2352" s="9"/>
      <c r="L2352" s="9"/>
      <c r="M2352" s="9"/>
    </row>
    <row r="2353" spans="1:13">
      <c r="A2353" s="9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</row>
    <row r="2354" spans="1:13">
      <c r="A2354" s="9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</row>
    <row r="2355" spans="1:13">
      <c r="A2355" s="9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</row>
    <row r="2356" spans="1:13">
      <c r="A2356" s="9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</row>
    <row r="2357" spans="1:13">
      <c r="A2357" s="9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</row>
    <row r="2358" spans="1:13">
      <c r="A2358" s="9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</row>
    <row r="2359" spans="1:13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</row>
    <row r="2360" spans="1:13">
      <c r="A2360" s="9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</row>
    <row r="2361" spans="1:13">
      <c r="A2361" s="9"/>
      <c r="B2361" s="9"/>
      <c r="C2361" s="9"/>
      <c r="D2361" s="9"/>
      <c r="E2361" s="9"/>
      <c r="F2361" s="9"/>
      <c r="G2361" s="9"/>
      <c r="H2361" s="9"/>
      <c r="I2361" s="9"/>
      <c r="J2361" s="9"/>
      <c r="K2361" s="9"/>
      <c r="L2361" s="9"/>
      <c r="M2361" s="9"/>
    </row>
    <row r="2362" spans="1:13">
      <c r="A2362" s="9"/>
      <c r="B2362" s="9"/>
      <c r="C2362" s="9"/>
      <c r="D2362" s="9"/>
      <c r="E2362" s="9"/>
      <c r="F2362" s="9"/>
      <c r="G2362" s="9"/>
      <c r="H2362" s="9"/>
      <c r="I2362" s="9"/>
      <c r="J2362" s="9"/>
      <c r="K2362" s="9"/>
      <c r="L2362" s="9"/>
      <c r="M2362" s="9"/>
    </row>
    <row r="2363" spans="1:13">
      <c r="A2363" s="9"/>
      <c r="B2363" s="9"/>
      <c r="C2363" s="9"/>
      <c r="D2363" s="9"/>
      <c r="E2363" s="9"/>
      <c r="F2363" s="9"/>
      <c r="G2363" s="9"/>
      <c r="H2363" s="9"/>
      <c r="I2363" s="9"/>
      <c r="J2363" s="9"/>
      <c r="K2363" s="9"/>
      <c r="L2363" s="9"/>
      <c r="M2363" s="9"/>
    </row>
    <row r="2364" spans="1:13">
      <c r="A2364" s="9"/>
      <c r="B2364" s="9"/>
      <c r="C2364" s="9"/>
      <c r="D2364" s="9"/>
      <c r="E2364" s="9"/>
      <c r="F2364" s="9"/>
      <c r="G2364" s="9"/>
      <c r="H2364" s="9"/>
      <c r="I2364" s="9"/>
      <c r="J2364" s="9"/>
      <c r="K2364" s="9"/>
      <c r="L2364" s="9"/>
      <c r="M2364" s="9"/>
    </row>
    <row r="2365" spans="1:13">
      <c r="A2365" s="9"/>
      <c r="B2365" s="9"/>
      <c r="C2365" s="9"/>
      <c r="D2365" s="9"/>
      <c r="E2365" s="9"/>
      <c r="F2365" s="9"/>
      <c r="G2365" s="9"/>
      <c r="H2365" s="9"/>
      <c r="I2365" s="9"/>
      <c r="J2365" s="9"/>
      <c r="K2365" s="9"/>
      <c r="L2365" s="9"/>
      <c r="M2365" s="9"/>
    </row>
    <row r="2366" spans="1:13">
      <c r="A2366" s="9"/>
      <c r="B2366" s="9"/>
      <c r="C2366" s="9"/>
      <c r="D2366" s="9"/>
      <c r="E2366" s="9"/>
      <c r="F2366" s="9"/>
      <c r="G2366" s="9"/>
      <c r="H2366" s="9"/>
      <c r="I2366" s="9"/>
      <c r="J2366" s="9"/>
      <c r="K2366" s="9"/>
      <c r="L2366" s="9"/>
      <c r="M2366" s="9"/>
    </row>
    <row r="2367" spans="1:13">
      <c r="A2367" s="9"/>
      <c r="B2367" s="9"/>
      <c r="C2367" s="9"/>
      <c r="D2367" s="9"/>
      <c r="E2367" s="9"/>
      <c r="F2367" s="9"/>
      <c r="G2367" s="9"/>
      <c r="H2367" s="9"/>
      <c r="I2367" s="9"/>
      <c r="J2367" s="9"/>
      <c r="K2367" s="9"/>
      <c r="L2367" s="9"/>
      <c r="M2367" s="9"/>
    </row>
    <row r="2368" spans="1:13">
      <c r="A2368" s="9"/>
      <c r="B2368" s="9"/>
      <c r="C2368" s="9"/>
      <c r="D2368" s="9"/>
      <c r="E2368" s="9"/>
      <c r="F2368" s="9"/>
      <c r="G2368" s="9"/>
      <c r="H2368" s="9"/>
      <c r="I2368" s="9"/>
      <c r="J2368" s="9"/>
      <c r="K2368" s="9"/>
      <c r="L2368" s="9"/>
      <c r="M2368" s="9"/>
    </row>
    <row r="2369" spans="1:13">
      <c r="A2369" s="9"/>
      <c r="B2369" s="9"/>
      <c r="C2369" s="9"/>
      <c r="D2369" s="9"/>
      <c r="E2369" s="9"/>
      <c r="F2369" s="9"/>
      <c r="G2369" s="9"/>
      <c r="H2369" s="9"/>
      <c r="I2369" s="9"/>
      <c r="J2369" s="9"/>
      <c r="K2369" s="9"/>
      <c r="L2369" s="9"/>
      <c r="M2369" s="9"/>
    </row>
    <row r="2370" spans="1:13">
      <c r="A2370" s="9"/>
      <c r="B2370" s="9"/>
      <c r="C2370" s="9"/>
      <c r="D2370" s="9"/>
      <c r="E2370" s="9"/>
      <c r="F2370" s="9"/>
      <c r="G2370" s="9"/>
      <c r="H2370" s="9"/>
      <c r="I2370" s="9"/>
      <c r="J2370" s="9"/>
      <c r="K2370" s="9"/>
      <c r="L2370" s="9"/>
      <c r="M2370" s="9"/>
    </row>
    <row r="2371" spans="1:13">
      <c r="A2371" s="9"/>
      <c r="B2371" s="9"/>
      <c r="C2371" s="9"/>
      <c r="D2371" s="9"/>
      <c r="E2371" s="9"/>
      <c r="F2371" s="9"/>
      <c r="G2371" s="9"/>
      <c r="H2371" s="9"/>
      <c r="I2371" s="9"/>
      <c r="J2371" s="9"/>
      <c r="K2371" s="9"/>
      <c r="L2371" s="9"/>
      <c r="M2371" s="9"/>
    </row>
    <row r="2372" spans="1:13">
      <c r="A2372" s="9"/>
      <c r="B2372" s="9"/>
      <c r="C2372" s="9"/>
      <c r="D2372" s="9"/>
      <c r="E2372" s="9"/>
      <c r="F2372" s="9"/>
      <c r="G2372" s="9"/>
      <c r="H2372" s="9"/>
      <c r="I2372" s="9"/>
      <c r="J2372" s="9"/>
      <c r="K2372" s="9"/>
      <c r="L2372" s="9"/>
      <c r="M2372" s="9"/>
    </row>
    <row r="2373" spans="1:13">
      <c r="A2373" s="9"/>
      <c r="B2373" s="9"/>
      <c r="C2373" s="9"/>
      <c r="D2373" s="9"/>
      <c r="E2373" s="9"/>
      <c r="F2373" s="9"/>
      <c r="G2373" s="9"/>
      <c r="H2373" s="9"/>
      <c r="I2373" s="9"/>
      <c r="J2373" s="9"/>
      <c r="K2373" s="9"/>
      <c r="L2373" s="9"/>
      <c r="M2373" s="9"/>
    </row>
    <row r="2374" spans="1:13">
      <c r="A2374" s="9"/>
      <c r="B2374" s="9"/>
      <c r="C2374" s="9"/>
      <c r="D2374" s="9"/>
      <c r="E2374" s="9"/>
      <c r="F2374" s="9"/>
      <c r="G2374" s="9"/>
      <c r="H2374" s="9"/>
      <c r="I2374" s="9"/>
      <c r="J2374" s="9"/>
      <c r="K2374" s="9"/>
      <c r="L2374" s="9"/>
      <c r="M2374" s="9"/>
    </row>
    <row r="2375" spans="1:13">
      <c r="A2375" s="9"/>
      <c r="B2375" s="9"/>
      <c r="C2375" s="9"/>
      <c r="D2375" s="9"/>
      <c r="E2375" s="9"/>
      <c r="F2375" s="9"/>
      <c r="G2375" s="9"/>
      <c r="H2375" s="9"/>
      <c r="I2375" s="9"/>
      <c r="J2375" s="9"/>
      <c r="K2375" s="9"/>
      <c r="L2375" s="9"/>
      <c r="M2375" s="9"/>
    </row>
    <row r="2376" spans="1:13">
      <c r="A2376" s="9"/>
      <c r="B2376" s="9"/>
      <c r="C2376" s="9"/>
      <c r="D2376" s="9"/>
      <c r="E2376" s="9"/>
      <c r="F2376" s="9"/>
      <c r="G2376" s="9"/>
      <c r="H2376" s="9"/>
      <c r="I2376" s="9"/>
      <c r="J2376" s="9"/>
      <c r="K2376" s="9"/>
      <c r="L2376" s="9"/>
      <c r="M2376" s="9"/>
    </row>
    <row r="2377" spans="1:13">
      <c r="A2377" s="9"/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</row>
    <row r="2378" spans="1:13">
      <c r="A2378" s="9"/>
      <c r="B2378" s="9"/>
      <c r="C2378" s="9"/>
      <c r="D2378" s="9"/>
      <c r="E2378" s="9"/>
      <c r="F2378" s="9"/>
      <c r="G2378" s="9"/>
      <c r="H2378" s="9"/>
      <c r="I2378" s="9"/>
      <c r="J2378" s="9"/>
      <c r="K2378" s="9"/>
      <c r="L2378" s="9"/>
      <c r="M2378" s="9"/>
    </row>
    <row r="2379" spans="1:13">
      <c r="A2379" s="9"/>
      <c r="B2379" s="9"/>
      <c r="C2379" s="9"/>
      <c r="D2379" s="9"/>
      <c r="E2379" s="9"/>
      <c r="F2379" s="9"/>
      <c r="G2379" s="9"/>
      <c r="H2379" s="9"/>
      <c r="I2379" s="9"/>
      <c r="J2379" s="9"/>
      <c r="K2379" s="9"/>
      <c r="L2379" s="9"/>
      <c r="M2379" s="9"/>
    </row>
    <row r="2380" spans="1:13">
      <c r="A2380" s="9"/>
      <c r="B2380" s="9"/>
      <c r="C2380" s="9"/>
      <c r="D2380" s="9"/>
      <c r="E2380" s="9"/>
      <c r="F2380" s="9"/>
      <c r="G2380" s="9"/>
      <c r="H2380" s="9"/>
      <c r="I2380" s="9"/>
      <c r="J2380" s="9"/>
      <c r="K2380" s="9"/>
      <c r="L2380" s="9"/>
      <c r="M2380" s="9"/>
    </row>
    <row r="2381" spans="1:13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9"/>
      <c r="L2381" s="9"/>
      <c r="M2381" s="9"/>
    </row>
    <row r="2382" spans="1:13">
      <c r="A2382" s="9"/>
      <c r="B2382" s="9"/>
      <c r="C2382" s="9"/>
      <c r="D2382" s="9"/>
      <c r="E2382" s="9"/>
      <c r="F2382" s="9"/>
      <c r="G2382" s="9"/>
      <c r="H2382" s="9"/>
      <c r="I2382" s="9"/>
      <c r="J2382" s="9"/>
      <c r="K2382" s="9"/>
      <c r="L2382" s="9"/>
      <c r="M2382" s="9"/>
    </row>
    <row r="2383" spans="1:13">
      <c r="A2383" s="9"/>
      <c r="B2383" s="9"/>
      <c r="C2383" s="9"/>
      <c r="D2383" s="9"/>
      <c r="E2383" s="9"/>
      <c r="F2383" s="9"/>
      <c r="G2383" s="9"/>
      <c r="H2383" s="9"/>
      <c r="I2383" s="9"/>
      <c r="J2383" s="9"/>
      <c r="K2383" s="9"/>
      <c r="L2383" s="9"/>
      <c r="M2383" s="9"/>
    </row>
    <row r="2384" spans="1:13">
      <c r="A2384" s="9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</row>
    <row r="2385" spans="1:13">
      <c r="A2385" s="9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</row>
    <row r="2386" spans="1:13">
      <c r="A2386" s="9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</row>
    <row r="2387" spans="1:13">
      <c r="A2387" s="9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</row>
    <row r="2388" spans="1:13">
      <c r="A2388" s="9"/>
      <c r="B2388" s="9"/>
      <c r="C2388" s="9"/>
      <c r="D2388" s="9"/>
      <c r="E2388" s="9"/>
      <c r="F2388" s="9"/>
      <c r="G2388" s="9"/>
      <c r="H2388" s="9"/>
      <c r="I2388" s="9"/>
      <c r="J2388" s="9"/>
      <c r="K2388" s="9"/>
      <c r="L2388" s="9"/>
      <c r="M2388" s="9"/>
    </row>
    <row r="2389" spans="1:13">
      <c r="A2389" s="9"/>
      <c r="B2389" s="9"/>
      <c r="C2389" s="9"/>
      <c r="D2389" s="9"/>
      <c r="E2389" s="9"/>
      <c r="F2389" s="9"/>
      <c r="G2389" s="9"/>
      <c r="H2389" s="9"/>
      <c r="I2389" s="9"/>
      <c r="J2389" s="9"/>
      <c r="K2389" s="9"/>
      <c r="L2389" s="9"/>
      <c r="M2389" s="9"/>
    </row>
    <row r="2390" spans="1:13">
      <c r="A2390" s="9"/>
      <c r="B2390" s="9"/>
      <c r="C2390" s="9"/>
      <c r="D2390" s="9"/>
      <c r="E2390" s="9"/>
      <c r="F2390" s="9"/>
      <c r="G2390" s="9"/>
      <c r="H2390" s="9"/>
      <c r="I2390" s="9"/>
      <c r="J2390" s="9"/>
      <c r="K2390" s="9"/>
      <c r="L2390" s="9"/>
      <c r="M2390" s="9"/>
    </row>
    <row r="2391" spans="1:13">
      <c r="A2391" s="9"/>
      <c r="B2391" s="9"/>
      <c r="C2391" s="9"/>
      <c r="D2391" s="9"/>
      <c r="E2391" s="9"/>
      <c r="F2391" s="9"/>
      <c r="G2391" s="9"/>
      <c r="H2391" s="9"/>
      <c r="I2391" s="9"/>
      <c r="J2391" s="9"/>
      <c r="K2391" s="9"/>
      <c r="L2391" s="9"/>
      <c r="M2391" s="9"/>
    </row>
    <row r="2392" spans="1:13">
      <c r="A2392" s="9"/>
      <c r="B2392" s="9"/>
      <c r="C2392" s="9"/>
      <c r="D2392" s="9"/>
      <c r="E2392" s="9"/>
      <c r="F2392" s="9"/>
      <c r="G2392" s="9"/>
      <c r="H2392" s="9"/>
      <c r="I2392" s="9"/>
      <c r="J2392" s="9"/>
      <c r="K2392" s="9"/>
      <c r="L2392" s="9"/>
      <c r="M2392" s="9"/>
    </row>
    <row r="2393" spans="1:13">
      <c r="A2393" s="9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</row>
    <row r="2394" spans="1:13">
      <c r="A2394" s="9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</row>
    <row r="2395" spans="1:13">
      <c r="A2395" s="9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</row>
    <row r="2396" spans="1:13">
      <c r="A2396" s="9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</row>
    <row r="2397" spans="1:13">
      <c r="A2397" s="9"/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</row>
    <row r="2398" spans="1:13">
      <c r="A2398" s="9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</row>
    <row r="2399" spans="1:13">
      <c r="A2399" s="9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</row>
    <row r="2400" spans="1:13">
      <c r="A2400" s="9"/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s="9"/>
    </row>
    <row r="2401" spans="1:13">
      <c r="A2401" s="9"/>
      <c r="B2401" s="9"/>
      <c r="C2401" s="9"/>
      <c r="D2401" s="9"/>
      <c r="E2401" s="9"/>
      <c r="F2401" s="9"/>
      <c r="G2401" s="9"/>
      <c r="H2401" s="9"/>
      <c r="I2401" s="9"/>
      <c r="J2401" s="9"/>
      <c r="K2401" s="9"/>
      <c r="L2401" s="9"/>
      <c r="M2401" s="9"/>
    </row>
    <row r="2402" spans="1:13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9"/>
      <c r="L2402" s="9"/>
      <c r="M2402" s="9"/>
    </row>
    <row r="2403" spans="1:13">
      <c r="A2403" s="9"/>
      <c r="B2403" s="9"/>
      <c r="C2403" s="9"/>
      <c r="D2403" s="9"/>
      <c r="E2403" s="9"/>
      <c r="F2403" s="9"/>
      <c r="G2403" s="9"/>
      <c r="H2403" s="9"/>
      <c r="I2403" s="9"/>
      <c r="J2403" s="9"/>
      <c r="K2403" s="9"/>
      <c r="L2403" s="9"/>
      <c r="M2403" s="9"/>
    </row>
    <row r="2404" spans="1:13">
      <c r="A2404" s="9"/>
      <c r="B2404" s="9"/>
      <c r="C2404" s="9"/>
      <c r="D2404" s="9"/>
      <c r="E2404" s="9"/>
      <c r="F2404" s="9"/>
      <c r="G2404" s="9"/>
      <c r="H2404" s="9"/>
      <c r="I2404" s="9"/>
      <c r="J2404" s="9"/>
      <c r="K2404" s="9"/>
      <c r="L2404" s="9"/>
      <c r="M2404" s="9"/>
    </row>
    <row r="2405" spans="1:13">
      <c r="A2405" s="9"/>
      <c r="B2405" s="9"/>
      <c r="C2405" s="9"/>
      <c r="D2405" s="9"/>
      <c r="E2405" s="9"/>
      <c r="F2405" s="9"/>
      <c r="G2405" s="9"/>
      <c r="H2405" s="9"/>
      <c r="I2405" s="9"/>
      <c r="J2405" s="9"/>
      <c r="K2405" s="9"/>
      <c r="L2405" s="9"/>
      <c r="M2405" s="9"/>
    </row>
    <row r="2406" spans="1:13">
      <c r="A2406" s="9"/>
      <c r="B2406" s="9"/>
      <c r="C2406" s="9"/>
      <c r="D2406" s="9"/>
      <c r="E2406" s="9"/>
      <c r="F2406" s="9"/>
      <c r="G2406" s="9"/>
      <c r="H2406" s="9"/>
      <c r="I2406" s="9"/>
      <c r="J2406" s="9"/>
      <c r="K2406" s="9"/>
      <c r="L2406" s="9"/>
      <c r="M2406" s="9"/>
    </row>
    <row r="2407" spans="1:13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9"/>
      <c r="L2407" s="9"/>
      <c r="M2407" s="9"/>
    </row>
    <row r="2408" spans="1:13">
      <c r="A2408" s="9"/>
      <c r="B2408" s="9"/>
      <c r="C2408" s="9"/>
      <c r="D2408" s="9"/>
      <c r="E2408" s="9"/>
      <c r="F2408" s="9"/>
      <c r="G2408" s="9"/>
      <c r="H2408" s="9"/>
      <c r="I2408" s="9"/>
      <c r="J2408" s="9"/>
      <c r="K2408" s="9"/>
      <c r="L2408" s="9"/>
      <c r="M2408" s="9"/>
    </row>
    <row r="2409" spans="1:13">
      <c r="A2409" s="9"/>
      <c r="B2409" s="9"/>
      <c r="C2409" s="9"/>
      <c r="D2409" s="9"/>
      <c r="E2409" s="9"/>
      <c r="F2409" s="9"/>
      <c r="G2409" s="9"/>
      <c r="H2409" s="9"/>
      <c r="I2409" s="9"/>
      <c r="J2409" s="9"/>
      <c r="K2409" s="9"/>
      <c r="L2409" s="9"/>
      <c r="M2409" s="9"/>
    </row>
    <row r="2410" spans="1:13">
      <c r="A2410" s="9"/>
      <c r="B2410" s="9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</row>
    <row r="2411" spans="1:13">
      <c r="A2411" s="9"/>
      <c r="B2411" s="9"/>
      <c r="C2411" s="9"/>
      <c r="D2411" s="9"/>
      <c r="E2411" s="9"/>
      <c r="F2411" s="9"/>
      <c r="G2411" s="9"/>
      <c r="H2411" s="9"/>
      <c r="I2411" s="9"/>
      <c r="J2411" s="9"/>
      <c r="K2411" s="9"/>
      <c r="L2411" s="9"/>
      <c r="M2411" s="9"/>
    </row>
    <row r="2412" spans="1:13">
      <c r="A2412" s="9"/>
      <c r="B2412" s="9"/>
      <c r="C2412" s="9"/>
      <c r="D2412" s="9"/>
      <c r="E2412" s="9"/>
      <c r="F2412" s="9"/>
      <c r="G2412" s="9"/>
      <c r="H2412" s="9"/>
      <c r="I2412" s="9"/>
      <c r="J2412" s="9"/>
      <c r="K2412" s="9"/>
      <c r="L2412" s="9"/>
      <c r="M2412" s="9"/>
    </row>
    <row r="2413" spans="1:13">
      <c r="A2413" s="9"/>
      <c r="B2413" s="9"/>
      <c r="C2413" s="9"/>
      <c r="D2413" s="9"/>
      <c r="E2413" s="9"/>
      <c r="F2413" s="9"/>
      <c r="G2413" s="9"/>
      <c r="H2413" s="9"/>
      <c r="I2413" s="9"/>
      <c r="J2413" s="9"/>
      <c r="K2413" s="9"/>
      <c r="L2413" s="9"/>
      <c r="M2413" s="9"/>
    </row>
    <row r="2414" spans="1:13">
      <c r="A2414" s="9"/>
      <c r="B2414" s="9"/>
      <c r="C2414" s="9"/>
      <c r="D2414" s="9"/>
      <c r="E2414" s="9"/>
      <c r="F2414" s="9"/>
      <c r="G2414" s="9"/>
      <c r="H2414" s="9"/>
      <c r="I2414" s="9"/>
      <c r="J2414" s="9"/>
      <c r="K2414" s="9"/>
      <c r="L2414" s="9"/>
      <c r="M2414" s="9"/>
    </row>
    <row r="2415" spans="1:13">
      <c r="A2415" s="9"/>
      <c r="B2415" s="9"/>
      <c r="C2415" s="9"/>
      <c r="D2415" s="9"/>
      <c r="E2415" s="9"/>
      <c r="F2415" s="9"/>
      <c r="G2415" s="9"/>
      <c r="H2415" s="9"/>
      <c r="I2415" s="9"/>
      <c r="J2415" s="9"/>
      <c r="K2415" s="9"/>
      <c r="L2415" s="9"/>
      <c r="M2415" s="9"/>
    </row>
    <row r="2416" spans="1:13">
      <c r="A2416" s="9"/>
      <c r="B2416" s="9"/>
      <c r="C2416" s="9"/>
      <c r="D2416" s="9"/>
      <c r="E2416" s="9"/>
      <c r="F2416" s="9"/>
      <c r="G2416" s="9"/>
      <c r="H2416" s="9"/>
      <c r="I2416" s="9"/>
      <c r="J2416" s="9"/>
      <c r="K2416" s="9"/>
      <c r="L2416" s="9"/>
      <c r="M2416" s="9"/>
    </row>
    <row r="2417" spans="1:13">
      <c r="A2417" s="9"/>
      <c r="B2417" s="9"/>
      <c r="C2417" s="9"/>
      <c r="D2417" s="9"/>
      <c r="E2417" s="9"/>
      <c r="F2417" s="9"/>
      <c r="G2417" s="9"/>
      <c r="H2417" s="9"/>
      <c r="I2417" s="9"/>
      <c r="J2417" s="9"/>
      <c r="K2417" s="9"/>
      <c r="L2417" s="9"/>
      <c r="M2417" s="9"/>
    </row>
    <row r="2418" spans="1:13">
      <c r="A2418" s="9"/>
      <c r="B2418" s="9"/>
      <c r="C2418" s="9"/>
      <c r="D2418" s="9"/>
      <c r="E2418" s="9"/>
      <c r="F2418" s="9"/>
      <c r="G2418" s="9"/>
      <c r="H2418" s="9"/>
      <c r="I2418" s="9"/>
      <c r="J2418" s="9"/>
      <c r="K2418" s="9"/>
      <c r="L2418" s="9"/>
      <c r="M2418" s="9"/>
    </row>
    <row r="2419" spans="1:13">
      <c r="A2419" s="9"/>
      <c r="B2419" s="9"/>
      <c r="C2419" s="9"/>
      <c r="D2419" s="9"/>
      <c r="E2419" s="9"/>
      <c r="F2419" s="9"/>
      <c r="G2419" s="9"/>
      <c r="H2419" s="9"/>
      <c r="I2419" s="9"/>
      <c r="J2419" s="9"/>
      <c r="K2419" s="9"/>
      <c r="L2419" s="9"/>
      <c r="M2419" s="9"/>
    </row>
    <row r="2420" spans="1:13">
      <c r="A2420" s="9"/>
      <c r="B2420" s="9"/>
      <c r="C2420" s="9"/>
      <c r="D2420" s="9"/>
      <c r="E2420" s="9"/>
      <c r="F2420" s="9"/>
      <c r="G2420" s="9"/>
      <c r="H2420" s="9"/>
      <c r="I2420" s="9"/>
      <c r="J2420" s="9"/>
      <c r="K2420" s="9"/>
      <c r="L2420" s="9"/>
      <c r="M2420" s="9"/>
    </row>
    <row r="2421" spans="1:13">
      <c r="A2421" s="9"/>
      <c r="B2421" s="9"/>
      <c r="C2421" s="9"/>
      <c r="D2421" s="9"/>
      <c r="E2421" s="9"/>
      <c r="F2421" s="9"/>
      <c r="G2421" s="9"/>
      <c r="H2421" s="9"/>
      <c r="I2421" s="9"/>
      <c r="J2421" s="9"/>
      <c r="K2421" s="9"/>
      <c r="L2421" s="9"/>
      <c r="M2421" s="9"/>
    </row>
    <row r="2422" spans="1:13">
      <c r="A2422" s="9"/>
      <c r="B2422" s="9"/>
      <c r="C2422" s="9"/>
      <c r="D2422" s="9"/>
      <c r="E2422" s="9"/>
      <c r="F2422" s="9"/>
      <c r="G2422" s="9"/>
      <c r="H2422" s="9"/>
      <c r="I2422" s="9"/>
      <c r="J2422" s="9"/>
      <c r="K2422" s="9"/>
      <c r="L2422" s="9"/>
      <c r="M2422" s="9"/>
    </row>
    <row r="2423" spans="1:13">
      <c r="A2423" s="9"/>
      <c r="B2423" s="9"/>
      <c r="C2423" s="9"/>
      <c r="D2423" s="9"/>
      <c r="E2423" s="9"/>
      <c r="F2423" s="9"/>
      <c r="G2423" s="9"/>
      <c r="H2423" s="9"/>
      <c r="I2423" s="9"/>
      <c r="J2423" s="9"/>
      <c r="K2423" s="9"/>
      <c r="L2423" s="9"/>
      <c r="M2423" s="9"/>
    </row>
    <row r="2424" spans="1:13">
      <c r="A2424" s="9"/>
      <c r="B2424" s="9"/>
      <c r="C2424" s="9"/>
      <c r="D2424" s="9"/>
      <c r="E2424" s="9"/>
      <c r="F2424" s="9"/>
      <c r="G2424" s="9"/>
      <c r="H2424" s="9"/>
      <c r="I2424" s="9"/>
      <c r="J2424" s="9"/>
      <c r="K2424" s="9"/>
      <c r="L2424" s="9"/>
      <c r="M2424" s="9"/>
    </row>
    <row r="2425" spans="1:13">
      <c r="A2425" s="9"/>
      <c r="B2425" s="9"/>
      <c r="C2425" s="9"/>
      <c r="D2425" s="9"/>
      <c r="E2425" s="9"/>
      <c r="F2425" s="9"/>
      <c r="G2425" s="9"/>
      <c r="H2425" s="9"/>
      <c r="I2425" s="9"/>
      <c r="J2425" s="9"/>
      <c r="K2425" s="9"/>
      <c r="L2425" s="9"/>
      <c r="M2425" s="9"/>
    </row>
    <row r="2426" spans="1:13">
      <c r="A2426" s="9"/>
      <c r="B2426" s="9"/>
      <c r="C2426" s="9"/>
      <c r="D2426" s="9"/>
      <c r="E2426" s="9"/>
      <c r="F2426" s="9"/>
      <c r="G2426" s="9"/>
      <c r="H2426" s="9"/>
      <c r="I2426" s="9"/>
      <c r="J2426" s="9"/>
      <c r="K2426" s="9"/>
      <c r="L2426" s="9"/>
      <c r="M2426" s="9"/>
    </row>
    <row r="2427" spans="1:13">
      <c r="A2427" s="9"/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</row>
    <row r="2428" spans="1:13">
      <c r="A2428" s="9"/>
      <c r="B2428" s="9"/>
      <c r="C2428" s="9"/>
      <c r="D2428" s="9"/>
      <c r="E2428" s="9"/>
      <c r="F2428" s="9"/>
      <c r="G2428" s="9"/>
      <c r="H2428" s="9"/>
      <c r="I2428" s="9"/>
      <c r="J2428" s="9"/>
      <c r="K2428" s="9"/>
      <c r="L2428" s="9"/>
      <c r="M2428" s="9"/>
    </row>
    <row r="2429" spans="1:13">
      <c r="A2429" s="9"/>
      <c r="B2429" s="9"/>
      <c r="C2429" s="9"/>
      <c r="D2429" s="9"/>
      <c r="E2429" s="9"/>
      <c r="F2429" s="9"/>
      <c r="G2429" s="9"/>
      <c r="H2429" s="9"/>
      <c r="I2429" s="9"/>
      <c r="J2429" s="9"/>
      <c r="K2429" s="9"/>
      <c r="L2429" s="9"/>
      <c r="M2429" s="9"/>
    </row>
    <row r="2430" spans="1:13">
      <c r="A2430" s="9"/>
      <c r="B2430" s="9"/>
      <c r="C2430" s="9"/>
      <c r="D2430" s="9"/>
      <c r="E2430" s="9"/>
      <c r="F2430" s="9"/>
      <c r="G2430" s="9"/>
      <c r="H2430" s="9"/>
      <c r="I2430" s="9"/>
      <c r="J2430" s="9"/>
      <c r="K2430" s="9"/>
      <c r="L2430" s="9"/>
      <c r="M2430" s="9"/>
    </row>
    <row r="2431" spans="1:13">
      <c r="A2431" s="9"/>
      <c r="B2431" s="9"/>
      <c r="C2431" s="9"/>
      <c r="D2431" s="9"/>
      <c r="E2431" s="9"/>
      <c r="F2431" s="9"/>
      <c r="G2431" s="9"/>
      <c r="H2431" s="9"/>
      <c r="I2431" s="9"/>
      <c r="J2431" s="9"/>
      <c r="K2431" s="9"/>
      <c r="L2431" s="9"/>
      <c r="M2431" s="9"/>
    </row>
    <row r="2432" spans="1:13">
      <c r="A2432" s="9"/>
      <c r="B2432" s="9"/>
      <c r="C2432" s="9"/>
      <c r="D2432" s="9"/>
      <c r="E2432" s="9"/>
      <c r="F2432" s="9"/>
      <c r="G2432" s="9"/>
      <c r="H2432" s="9"/>
      <c r="I2432" s="9"/>
      <c r="J2432" s="9"/>
      <c r="K2432" s="9"/>
      <c r="L2432" s="9"/>
      <c r="M2432" s="9"/>
    </row>
    <row r="2433" spans="1:13">
      <c r="A2433" s="9"/>
      <c r="B2433" s="9"/>
      <c r="C2433" s="9"/>
      <c r="D2433" s="9"/>
      <c r="E2433" s="9"/>
      <c r="F2433" s="9"/>
      <c r="G2433" s="9"/>
      <c r="H2433" s="9"/>
      <c r="I2433" s="9"/>
      <c r="J2433" s="9"/>
      <c r="K2433" s="9"/>
      <c r="L2433" s="9"/>
      <c r="M2433" s="9"/>
    </row>
    <row r="2434" spans="1:13">
      <c r="A2434" s="9"/>
      <c r="B2434" s="9"/>
      <c r="C2434" s="9"/>
      <c r="D2434" s="9"/>
      <c r="E2434" s="9"/>
      <c r="F2434" s="9"/>
      <c r="G2434" s="9"/>
      <c r="H2434" s="9"/>
      <c r="I2434" s="9"/>
      <c r="J2434" s="9"/>
      <c r="K2434" s="9"/>
      <c r="L2434" s="9"/>
      <c r="M2434" s="9"/>
    </row>
    <row r="2435" spans="1:13">
      <c r="A2435" s="9"/>
      <c r="B2435" s="9"/>
      <c r="C2435" s="9"/>
      <c r="D2435" s="9"/>
      <c r="E2435" s="9"/>
      <c r="F2435" s="9"/>
      <c r="G2435" s="9"/>
      <c r="H2435" s="9"/>
      <c r="I2435" s="9"/>
      <c r="J2435" s="9"/>
      <c r="K2435" s="9"/>
      <c r="L2435" s="9"/>
      <c r="M2435" s="9"/>
    </row>
    <row r="2436" spans="1:13">
      <c r="A2436" s="9"/>
      <c r="B2436" s="9"/>
      <c r="C2436" s="9"/>
      <c r="D2436" s="9"/>
      <c r="E2436" s="9"/>
      <c r="F2436" s="9"/>
      <c r="G2436" s="9"/>
      <c r="H2436" s="9"/>
      <c r="I2436" s="9"/>
      <c r="J2436" s="9"/>
      <c r="K2436" s="9"/>
      <c r="L2436" s="9"/>
      <c r="M2436" s="9"/>
    </row>
    <row r="2437" spans="1:13">
      <c r="A2437" s="9"/>
      <c r="B2437" s="9"/>
      <c r="C2437" s="9"/>
      <c r="D2437" s="9"/>
      <c r="E2437" s="9"/>
      <c r="F2437" s="9"/>
      <c r="G2437" s="9"/>
      <c r="H2437" s="9"/>
      <c r="I2437" s="9"/>
      <c r="J2437" s="9"/>
      <c r="K2437" s="9"/>
      <c r="L2437" s="9"/>
      <c r="M2437" s="9"/>
    </row>
    <row r="2438" spans="1:13">
      <c r="A2438" s="9"/>
      <c r="B2438" s="9"/>
      <c r="C2438" s="9"/>
      <c r="D2438" s="9"/>
      <c r="E2438" s="9"/>
      <c r="F2438" s="9"/>
      <c r="G2438" s="9"/>
      <c r="H2438" s="9"/>
      <c r="I2438" s="9"/>
      <c r="J2438" s="9"/>
      <c r="K2438" s="9"/>
      <c r="L2438" s="9"/>
      <c r="M2438" s="9"/>
    </row>
    <row r="2439" spans="1:13">
      <c r="A2439" s="9"/>
      <c r="B2439" s="9"/>
      <c r="C2439" s="9"/>
      <c r="D2439" s="9"/>
      <c r="E2439" s="9"/>
      <c r="F2439" s="9"/>
      <c r="G2439" s="9"/>
      <c r="H2439" s="9"/>
      <c r="I2439" s="9"/>
      <c r="J2439" s="9"/>
      <c r="K2439" s="9"/>
      <c r="L2439" s="9"/>
      <c r="M2439" s="9"/>
    </row>
    <row r="2440" spans="1:13">
      <c r="A2440" s="9"/>
      <c r="B2440" s="9"/>
      <c r="C2440" s="9"/>
      <c r="D2440" s="9"/>
      <c r="E2440" s="9"/>
      <c r="F2440" s="9"/>
      <c r="G2440" s="9"/>
      <c r="H2440" s="9"/>
      <c r="I2440" s="9"/>
      <c r="J2440" s="9"/>
      <c r="K2440" s="9"/>
      <c r="L2440" s="9"/>
      <c r="M2440" s="9"/>
    </row>
    <row r="2441" spans="1:13">
      <c r="A2441" s="9"/>
      <c r="B2441" s="9"/>
      <c r="C2441" s="9"/>
      <c r="D2441" s="9"/>
      <c r="E2441" s="9"/>
      <c r="F2441" s="9"/>
      <c r="G2441" s="9"/>
      <c r="H2441" s="9"/>
      <c r="I2441" s="9"/>
      <c r="J2441" s="9"/>
      <c r="K2441" s="9"/>
      <c r="L2441" s="9"/>
      <c r="M2441" s="9"/>
    </row>
    <row r="2442" spans="1:13">
      <c r="A2442" s="9"/>
      <c r="B2442" s="9"/>
      <c r="C2442" s="9"/>
      <c r="D2442" s="9"/>
      <c r="E2442" s="9"/>
      <c r="F2442" s="9"/>
      <c r="G2442" s="9"/>
      <c r="H2442" s="9"/>
      <c r="I2442" s="9"/>
      <c r="J2442" s="9"/>
      <c r="K2442" s="9"/>
      <c r="L2442" s="9"/>
      <c r="M2442" s="9"/>
    </row>
    <row r="2443" spans="1:13">
      <c r="A2443" s="9"/>
      <c r="B2443" s="9"/>
      <c r="C2443" s="9"/>
      <c r="D2443" s="9"/>
      <c r="E2443" s="9"/>
      <c r="F2443" s="9"/>
      <c r="G2443" s="9"/>
      <c r="H2443" s="9"/>
      <c r="I2443" s="9"/>
      <c r="J2443" s="9"/>
      <c r="K2443" s="9"/>
      <c r="L2443" s="9"/>
      <c r="M2443" s="9"/>
    </row>
    <row r="2444" spans="1:13">
      <c r="A2444" s="9"/>
      <c r="B2444" s="9"/>
      <c r="C2444" s="9"/>
      <c r="D2444" s="9"/>
      <c r="E2444" s="9"/>
      <c r="F2444" s="9"/>
      <c r="G2444" s="9"/>
      <c r="H2444" s="9"/>
      <c r="I2444" s="9"/>
      <c r="J2444" s="9"/>
      <c r="K2444" s="9"/>
      <c r="L2444" s="9"/>
      <c r="M2444" s="9"/>
    </row>
    <row r="2445" spans="1:13">
      <c r="A2445" s="9"/>
      <c r="B2445" s="9"/>
      <c r="C2445" s="9"/>
      <c r="D2445" s="9"/>
      <c r="E2445" s="9"/>
      <c r="F2445" s="9"/>
      <c r="G2445" s="9"/>
      <c r="H2445" s="9"/>
      <c r="I2445" s="9"/>
      <c r="J2445" s="9"/>
      <c r="K2445" s="9"/>
      <c r="L2445" s="9"/>
      <c r="M2445" s="9"/>
    </row>
    <row r="2446" spans="1:13">
      <c r="A2446" s="9"/>
      <c r="B2446" s="9"/>
      <c r="C2446" s="9"/>
      <c r="D2446" s="9"/>
      <c r="E2446" s="9"/>
      <c r="F2446" s="9"/>
      <c r="G2446" s="9"/>
      <c r="H2446" s="9"/>
      <c r="I2446" s="9"/>
      <c r="J2446" s="9"/>
      <c r="K2446" s="9"/>
      <c r="L2446" s="9"/>
      <c r="M2446" s="9"/>
    </row>
    <row r="2447" spans="1:13">
      <c r="A2447" s="9"/>
      <c r="B2447" s="9"/>
      <c r="C2447" s="9"/>
      <c r="D2447" s="9"/>
      <c r="E2447" s="9"/>
      <c r="F2447" s="9"/>
      <c r="G2447" s="9"/>
      <c r="H2447" s="9"/>
      <c r="I2447" s="9"/>
      <c r="J2447" s="9"/>
      <c r="K2447" s="9"/>
      <c r="L2447" s="9"/>
      <c r="M2447" s="9"/>
    </row>
    <row r="2448" spans="1:13">
      <c r="A2448" s="9"/>
      <c r="B2448" s="9"/>
      <c r="C2448" s="9"/>
      <c r="D2448" s="9"/>
      <c r="E2448" s="9"/>
      <c r="F2448" s="9"/>
      <c r="G2448" s="9"/>
      <c r="H2448" s="9"/>
      <c r="I2448" s="9"/>
      <c r="J2448" s="9"/>
      <c r="K2448" s="9"/>
      <c r="L2448" s="9"/>
      <c r="M2448" s="9"/>
    </row>
    <row r="2449" spans="1:13">
      <c r="A2449" s="9"/>
      <c r="B2449" s="9"/>
      <c r="C2449" s="9"/>
      <c r="D2449" s="9"/>
      <c r="E2449" s="9"/>
      <c r="F2449" s="9"/>
      <c r="G2449" s="9"/>
      <c r="H2449" s="9"/>
      <c r="I2449" s="9"/>
      <c r="J2449" s="9"/>
      <c r="K2449" s="9"/>
      <c r="L2449" s="9"/>
      <c r="M2449" s="9"/>
    </row>
    <row r="2450" spans="1:13">
      <c r="A2450" s="9"/>
      <c r="B2450" s="9"/>
      <c r="C2450" s="9"/>
      <c r="D2450" s="9"/>
      <c r="E2450" s="9"/>
      <c r="F2450" s="9"/>
      <c r="G2450" s="9"/>
      <c r="H2450" s="9"/>
      <c r="I2450" s="9"/>
      <c r="J2450" s="9"/>
      <c r="K2450" s="9"/>
      <c r="L2450" s="9"/>
      <c r="M2450" s="9"/>
    </row>
    <row r="2451" spans="1:13">
      <c r="A2451" s="9"/>
      <c r="B2451" s="9"/>
      <c r="C2451" s="9"/>
      <c r="D2451" s="9"/>
      <c r="E2451" s="9"/>
      <c r="F2451" s="9"/>
      <c r="G2451" s="9"/>
      <c r="H2451" s="9"/>
      <c r="I2451" s="9"/>
      <c r="J2451" s="9"/>
      <c r="K2451" s="9"/>
      <c r="L2451" s="9"/>
      <c r="M2451" s="9"/>
    </row>
    <row r="2452" spans="1:13">
      <c r="A2452" s="9"/>
      <c r="B2452" s="9"/>
      <c r="C2452" s="9"/>
      <c r="D2452" s="9"/>
      <c r="E2452" s="9"/>
      <c r="F2452" s="9"/>
      <c r="G2452" s="9"/>
      <c r="H2452" s="9"/>
      <c r="I2452" s="9"/>
      <c r="J2452" s="9"/>
      <c r="K2452" s="9"/>
      <c r="L2452" s="9"/>
      <c r="M2452" s="9"/>
    </row>
    <row r="2453" spans="1:13">
      <c r="A2453" s="9"/>
      <c r="B2453" s="9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</row>
    <row r="2454" spans="1:13">
      <c r="A2454" s="9"/>
      <c r="B2454" s="9"/>
      <c r="C2454" s="9"/>
      <c r="D2454" s="9"/>
      <c r="E2454" s="9"/>
      <c r="F2454" s="9"/>
      <c r="G2454" s="9"/>
      <c r="H2454" s="9"/>
      <c r="I2454" s="9"/>
      <c r="J2454" s="9"/>
      <c r="K2454" s="9"/>
      <c r="L2454" s="9"/>
      <c r="M2454" s="9"/>
    </row>
    <row r="2455" spans="1:13">
      <c r="A2455" s="9"/>
      <c r="B2455" s="9"/>
      <c r="C2455" s="9"/>
      <c r="D2455" s="9"/>
      <c r="E2455" s="9"/>
      <c r="F2455" s="9"/>
      <c r="G2455" s="9"/>
      <c r="H2455" s="9"/>
      <c r="I2455" s="9"/>
      <c r="J2455" s="9"/>
      <c r="K2455" s="9"/>
      <c r="L2455" s="9"/>
      <c r="M2455" s="9"/>
    </row>
    <row r="2456" spans="1:13">
      <c r="A2456" s="9"/>
      <c r="B2456" s="9"/>
      <c r="C2456" s="9"/>
      <c r="D2456" s="9"/>
      <c r="E2456" s="9"/>
      <c r="F2456" s="9"/>
      <c r="G2456" s="9"/>
      <c r="H2456" s="9"/>
      <c r="I2456" s="9"/>
      <c r="J2456" s="9"/>
      <c r="K2456" s="9"/>
      <c r="L2456" s="9"/>
      <c r="M2456" s="9"/>
    </row>
    <row r="2457" spans="1:13">
      <c r="A2457" s="9"/>
      <c r="B2457" s="9"/>
      <c r="C2457" s="9"/>
      <c r="D2457" s="9"/>
      <c r="E2457" s="9"/>
      <c r="F2457" s="9"/>
      <c r="G2457" s="9"/>
      <c r="H2457" s="9"/>
      <c r="I2457" s="9"/>
      <c r="J2457" s="9"/>
      <c r="K2457" s="9"/>
      <c r="L2457" s="9"/>
      <c r="M2457" s="9"/>
    </row>
    <row r="2458" spans="1:13">
      <c r="A2458" s="9"/>
      <c r="B2458" s="9"/>
      <c r="C2458" s="9"/>
      <c r="D2458" s="9"/>
      <c r="E2458" s="9"/>
      <c r="F2458" s="9"/>
      <c r="G2458" s="9"/>
      <c r="H2458" s="9"/>
      <c r="I2458" s="9"/>
      <c r="J2458" s="9"/>
      <c r="K2458" s="9"/>
      <c r="L2458" s="9"/>
      <c r="M2458" s="9"/>
    </row>
    <row r="2459" spans="1:13">
      <c r="A2459" s="9"/>
      <c r="B2459" s="9"/>
      <c r="C2459" s="9"/>
      <c r="D2459" s="9"/>
      <c r="E2459" s="9"/>
      <c r="F2459" s="9"/>
      <c r="G2459" s="9"/>
      <c r="H2459" s="9"/>
      <c r="I2459" s="9"/>
      <c r="J2459" s="9"/>
      <c r="K2459" s="9"/>
      <c r="L2459" s="9"/>
      <c r="M2459" s="9"/>
    </row>
    <row r="2460" spans="1:13">
      <c r="A2460" s="9"/>
      <c r="B2460" s="9"/>
      <c r="C2460" s="9"/>
      <c r="D2460" s="9"/>
      <c r="E2460" s="9"/>
      <c r="F2460" s="9"/>
      <c r="G2460" s="9"/>
      <c r="H2460" s="9"/>
      <c r="I2460" s="9"/>
      <c r="J2460" s="9"/>
      <c r="K2460" s="9"/>
      <c r="L2460" s="9"/>
      <c r="M2460" s="9"/>
    </row>
    <row r="2461" spans="1:13">
      <c r="A2461" s="9"/>
      <c r="B2461" s="9"/>
      <c r="C2461" s="9"/>
      <c r="D2461" s="9"/>
      <c r="E2461" s="9"/>
      <c r="F2461" s="9"/>
      <c r="G2461" s="9"/>
      <c r="H2461" s="9"/>
      <c r="I2461" s="9"/>
      <c r="J2461" s="9"/>
      <c r="K2461" s="9"/>
      <c r="L2461" s="9"/>
      <c r="M2461" s="9"/>
    </row>
    <row r="2462" spans="1:13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9"/>
      <c r="L2462" s="9"/>
      <c r="M2462" s="9"/>
    </row>
    <row r="2463" spans="1:13">
      <c r="A2463" s="9"/>
      <c r="B2463" s="9"/>
      <c r="C2463" s="9"/>
      <c r="D2463" s="9"/>
      <c r="E2463" s="9"/>
      <c r="F2463" s="9"/>
      <c r="G2463" s="9"/>
      <c r="H2463" s="9"/>
      <c r="I2463" s="9"/>
      <c r="J2463" s="9"/>
      <c r="K2463" s="9"/>
      <c r="L2463" s="9"/>
      <c r="M2463" s="9"/>
    </row>
    <row r="2464" spans="1:13">
      <c r="A2464" s="9"/>
      <c r="B2464" s="9"/>
      <c r="C2464" s="9"/>
      <c r="D2464" s="9"/>
      <c r="E2464" s="9"/>
      <c r="F2464" s="9"/>
      <c r="G2464" s="9"/>
      <c r="H2464" s="9"/>
      <c r="I2464" s="9"/>
      <c r="J2464" s="9"/>
      <c r="K2464" s="9"/>
      <c r="L2464" s="9"/>
      <c r="M2464" s="9"/>
    </row>
    <row r="2465" spans="1:13">
      <c r="A2465" s="9"/>
      <c r="B2465" s="9"/>
      <c r="C2465" s="9"/>
      <c r="D2465" s="9"/>
      <c r="E2465" s="9"/>
      <c r="F2465" s="9"/>
      <c r="G2465" s="9"/>
      <c r="H2465" s="9"/>
      <c r="I2465" s="9"/>
      <c r="J2465" s="9"/>
      <c r="K2465" s="9"/>
      <c r="L2465" s="9"/>
      <c r="M2465" s="9"/>
    </row>
    <row r="2466" spans="1:13">
      <c r="A2466" s="9"/>
      <c r="B2466" s="9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</row>
    <row r="2467" spans="1:13">
      <c r="A2467" s="9"/>
      <c r="B2467" s="9"/>
      <c r="C2467" s="9"/>
      <c r="D2467" s="9"/>
      <c r="E2467" s="9"/>
      <c r="F2467" s="9"/>
      <c r="G2467" s="9"/>
      <c r="H2467" s="9"/>
      <c r="I2467" s="9"/>
      <c r="J2467" s="9"/>
      <c r="K2467" s="9"/>
      <c r="L2467" s="9"/>
      <c r="M2467" s="9"/>
    </row>
    <row r="2468" spans="1:13">
      <c r="A2468" s="9"/>
      <c r="B2468" s="9"/>
      <c r="C2468" s="9"/>
      <c r="D2468" s="9"/>
      <c r="E2468" s="9"/>
      <c r="F2468" s="9"/>
      <c r="G2468" s="9"/>
      <c r="H2468" s="9"/>
      <c r="I2468" s="9"/>
      <c r="J2468" s="9"/>
      <c r="K2468" s="9"/>
      <c r="L2468" s="9"/>
      <c r="M2468" s="9"/>
    </row>
    <row r="2469" spans="1:13">
      <c r="A2469" s="9"/>
      <c r="B2469" s="9"/>
      <c r="C2469" s="9"/>
      <c r="D2469" s="9"/>
      <c r="E2469" s="9"/>
      <c r="F2469" s="9"/>
      <c r="G2469" s="9"/>
      <c r="H2469" s="9"/>
      <c r="I2469" s="9"/>
      <c r="J2469" s="9"/>
      <c r="K2469" s="9"/>
      <c r="L2469" s="9"/>
      <c r="M2469" s="9"/>
    </row>
    <row r="2470" spans="1:13">
      <c r="A2470" s="9"/>
      <c r="B2470" s="9"/>
      <c r="C2470" s="9"/>
      <c r="D2470" s="9"/>
      <c r="E2470" s="9"/>
      <c r="F2470" s="9"/>
      <c r="G2470" s="9"/>
      <c r="H2470" s="9"/>
      <c r="I2470" s="9"/>
      <c r="J2470" s="9"/>
      <c r="K2470" s="9"/>
      <c r="L2470" s="9"/>
      <c r="M2470" s="9"/>
    </row>
    <row r="2471" spans="1:13">
      <c r="A2471" s="9"/>
      <c r="B2471" s="9"/>
      <c r="C2471" s="9"/>
      <c r="D2471" s="9"/>
      <c r="E2471" s="9"/>
      <c r="F2471" s="9"/>
      <c r="G2471" s="9"/>
      <c r="H2471" s="9"/>
      <c r="I2471" s="9"/>
      <c r="J2471" s="9"/>
      <c r="K2471" s="9"/>
      <c r="L2471" s="9"/>
      <c r="M2471" s="9"/>
    </row>
    <row r="2472" spans="1:13">
      <c r="A2472" s="9"/>
      <c r="B2472" s="9"/>
      <c r="C2472" s="9"/>
      <c r="D2472" s="9"/>
      <c r="E2472" s="9"/>
      <c r="F2472" s="9"/>
      <c r="G2472" s="9"/>
      <c r="H2472" s="9"/>
      <c r="I2472" s="9"/>
      <c r="J2472" s="9"/>
      <c r="K2472" s="9"/>
      <c r="L2472" s="9"/>
      <c r="M2472" s="9"/>
    </row>
    <row r="2473" spans="1:13">
      <c r="A2473" s="9"/>
      <c r="B2473" s="9"/>
      <c r="C2473" s="9"/>
      <c r="D2473" s="9"/>
      <c r="E2473" s="9"/>
      <c r="F2473" s="9"/>
      <c r="G2473" s="9"/>
      <c r="H2473" s="9"/>
      <c r="I2473" s="9"/>
      <c r="J2473" s="9"/>
      <c r="K2473" s="9"/>
      <c r="L2473" s="9"/>
      <c r="M2473" s="9"/>
    </row>
    <row r="2474" spans="1:13">
      <c r="A2474" s="9"/>
      <c r="B2474" s="9"/>
      <c r="C2474" s="9"/>
      <c r="D2474" s="9"/>
      <c r="E2474" s="9"/>
      <c r="F2474" s="9"/>
      <c r="G2474" s="9"/>
      <c r="H2474" s="9"/>
      <c r="I2474" s="9"/>
      <c r="J2474" s="9"/>
      <c r="K2474" s="9"/>
      <c r="L2474" s="9"/>
      <c r="M2474" s="9"/>
    </row>
    <row r="2475" spans="1:13">
      <c r="A2475" s="9"/>
      <c r="B2475" s="9"/>
      <c r="C2475" s="9"/>
      <c r="D2475" s="9"/>
      <c r="E2475" s="9"/>
      <c r="F2475" s="9"/>
      <c r="G2475" s="9"/>
      <c r="H2475" s="9"/>
      <c r="I2475" s="9"/>
      <c r="J2475" s="9"/>
      <c r="K2475" s="9"/>
      <c r="L2475" s="9"/>
      <c r="M2475" s="9"/>
    </row>
    <row r="2476" spans="1:13">
      <c r="A2476" s="9"/>
      <c r="B2476" s="9"/>
      <c r="C2476" s="9"/>
      <c r="D2476" s="9"/>
      <c r="E2476" s="9"/>
      <c r="F2476" s="9"/>
      <c r="G2476" s="9"/>
      <c r="H2476" s="9"/>
      <c r="I2476" s="9"/>
      <c r="J2476" s="9"/>
      <c r="K2476" s="9"/>
      <c r="L2476" s="9"/>
      <c r="M2476" s="9"/>
    </row>
    <row r="2477" spans="1:13">
      <c r="A2477" s="9"/>
      <c r="B2477" s="9"/>
      <c r="C2477" s="9"/>
      <c r="D2477" s="9"/>
      <c r="E2477" s="9"/>
      <c r="F2477" s="9"/>
      <c r="G2477" s="9"/>
      <c r="H2477" s="9"/>
      <c r="I2477" s="9"/>
      <c r="J2477" s="9"/>
      <c r="K2477" s="9"/>
      <c r="L2477" s="9"/>
      <c r="M2477" s="9"/>
    </row>
    <row r="2478" spans="1:13">
      <c r="A2478" s="9"/>
      <c r="B2478" s="9"/>
      <c r="C2478" s="9"/>
      <c r="D2478" s="9"/>
      <c r="E2478" s="9"/>
      <c r="F2478" s="9"/>
      <c r="G2478" s="9"/>
      <c r="H2478" s="9"/>
      <c r="I2478" s="9"/>
      <c r="J2478" s="9"/>
      <c r="K2478" s="9"/>
      <c r="L2478" s="9"/>
      <c r="M2478" s="9"/>
    </row>
    <row r="2479" spans="1:13">
      <c r="A2479" s="9"/>
      <c r="B2479" s="9"/>
      <c r="C2479" s="9"/>
      <c r="D2479" s="9"/>
      <c r="E2479" s="9"/>
      <c r="F2479" s="9"/>
      <c r="G2479" s="9"/>
      <c r="H2479" s="9"/>
      <c r="I2479" s="9"/>
      <c r="J2479" s="9"/>
      <c r="K2479" s="9"/>
      <c r="L2479" s="9"/>
      <c r="M2479" s="9"/>
    </row>
    <row r="2480" spans="1:13">
      <c r="A2480" s="9"/>
      <c r="B2480" s="9"/>
      <c r="C2480" s="9"/>
      <c r="D2480" s="9"/>
      <c r="E2480" s="9"/>
      <c r="F2480" s="9"/>
      <c r="G2480" s="9"/>
      <c r="H2480" s="9"/>
      <c r="I2480" s="9"/>
      <c r="J2480" s="9"/>
      <c r="K2480" s="9"/>
      <c r="L2480" s="9"/>
      <c r="M2480" s="9"/>
    </row>
    <row r="2481" spans="1:13">
      <c r="A2481" s="9"/>
      <c r="B2481" s="9"/>
      <c r="C2481" s="9"/>
      <c r="D2481" s="9"/>
      <c r="E2481" s="9"/>
      <c r="F2481" s="9"/>
      <c r="G2481" s="9"/>
      <c r="H2481" s="9"/>
      <c r="I2481" s="9"/>
      <c r="J2481" s="9"/>
      <c r="K2481" s="9"/>
      <c r="L2481" s="9"/>
      <c r="M2481" s="9"/>
    </row>
    <row r="2482" spans="1:13">
      <c r="A2482" s="9"/>
      <c r="B2482" s="9"/>
      <c r="C2482" s="9"/>
      <c r="D2482" s="9"/>
      <c r="E2482" s="9"/>
      <c r="F2482" s="9"/>
      <c r="G2482" s="9"/>
      <c r="H2482" s="9"/>
      <c r="I2482" s="9"/>
      <c r="J2482" s="9"/>
      <c r="K2482" s="9"/>
      <c r="L2482" s="9"/>
      <c r="M2482" s="9"/>
    </row>
    <row r="2483" spans="1:13">
      <c r="A2483" s="9"/>
      <c r="B2483" s="9"/>
      <c r="C2483" s="9"/>
      <c r="D2483" s="9"/>
      <c r="E2483" s="9"/>
      <c r="F2483" s="9"/>
      <c r="G2483" s="9"/>
      <c r="H2483" s="9"/>
      <c r="I2483" s="9"/>
      <c r="J2483" s="9"/>
      <c r="K2483" s="9"/>
      <c r="L2483" s="9"/>
      <c r="M2483" s="9"/>
    </row>
    <row r="2484" spans="1:13">
      <c r="A2484" s="9"/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</row>
    <row r="2485" spans="1:13">
      <c r="A2485" s="9"/>
      <c r="B2485" s="9"/>
      <c r="C2485" s="9"/>
      <c r="D2485" s="9"/>
      <c r="E2485" s="9"/>
      <c r="F2485" s="9"/>
      <c r="G2485" s="9"/>
      <c r="H2485" s="9"/>
      <c r="I2485" s="9"/>
      <c r="J2485" s="9"/>
      <c r="K2485" s="9"/>
      <c r="L2485" s="9"/>
      <c r="M2485" s="9"/>
    </row>
    <row r="2486" spans="1:13">
      <c r="A2486" s="9"/>
      <c r="B2486" s="9"/>
      <c r="C2486" s="9"/>
      <c r="D2486" s="9"/>
      <c r="E2486" s="9"/>
      <c r="F2486" s="9"/>
      <c r="G2486" s="9"/>
      <c r="H2486" s="9"/>
      <c r="I2486" s="9"/>
      <c r="J2486" s="9"/>
      <c r="K2486" s="9"/>
      <c r="L2486" s="9"/>
      <c r="M2486" s="9"/>
    </row>
    <row r="2487" spans="1:13">
      <c r="A2487" s="9"/>
      <c r="B2487" s="9"/>
      <c r="C2487" s="9"/>
      <c r="D2487" s="9"/>
      <c r="E2487" s="9"/>
      <c r="F2487" s="9"/>
      <c r="G2487" s="9"/>
      <c r="H2487" s="9"/>
      <c r="I2487" s="9"/>
      <c r="J2487" s="9"/>
      <c r="K2487" s="9"/>
      <c r="L2487" s="9"/>
      <c r="M2487" s="9"/>
    </row>
    <row r="2488" spans="1:13">
      <c r="A2488" s="9"/>
      <c r="B2488" s="9"/>
      <c r="C2488" s="9"/>
      <c r="D2488" s="9"/>
      <c r="E2488" s="9"/>
      <c r="F2488" s="9"/>
      <c r="G2488" s="9"/>
      <c r="H2488" s="9"/>
      <c r="I2488" s="9"/>
      <c r="J2488" s="9"/>
      <c r="K2488" s="9"/>
      <c r="L2488" s="9"/>
      <c r="M2488" s="9"/>
    </row>
    <row r="2489" spans="1:13">
      <c r="A2489" s="9"/>
      <c r="B2489" s="9"/>
      <c r="C2489" s="9"/>
      <c r="D2489" s="9"/>
      <c r="E2489" s="9"/>
      <c r="F2489" s="9"/>
      <c r="G2489" s="9"/>
      <c r="H2489" s="9"/>
      <c r="I2489" s="9"/>
      <c r="J2489" s="9"/>
      <c r="K2489" s="9"/>
      <c r="L2489" s="9"/>
      <c r="M2489" s="9"/>
    </row>
    <row r="2490" spans="1:13">
      <c r="A2490" s="9"/>
      <c r="B2490" s="9"/>
      <c r="C2490" s="9"/>
      <c r="D2490" s="9"/>
      <c r="E2490" s="9"/>
      <c r="F2490" s="9"/>
      <c r="G2490" s="9"/>
      <c r="H2490" s="9"/>
      <c r="I2490" s="9"/>
      <c r="J2490" s="9"/>
      <c r="K2490" s="9"/>
      <c r="L2490" s="9"/>
      <c r="M2490" s="9"/>
    </row>
    <row r="2491" spans="1:13">
      <c r="A2491" s="9"/>
      <c r="B2491" s="9"/>
      <c r="C2491" s="9"/>
      <c r="D2491" s="9"/>
      <c r="E2491" s="9"/>
      <c r="F2491" s="9"/>
      <c r="G2491" s="9"/>
      <c r="H2491" s="9"/>
      <c r="I2491" s="9"/>
      <c r="J2491" s="9"/>
      <c r="K2491" s="9"/>
      <c r="L2491" s="9"/>
      <c r="M2491" s="9"/>
    </row>
    <row r="2492" spans="1:13">
      <c r="A2492" s="9"/>
      <c r="B2492" s="9"/>
      <c r="C2492" s="9"/>
      <c r="D2492" s="9"/>
      <c r="E2492" s="9"/>
      <c r="F2492" s="9"/>
      <c r="G2492" s="9"/>
      <c r="H2492" s="9"/>
      <c r="I2492" s="9"/>
      <c r="J2492" s="9"/>
      <c r="K2492" s="9"/>
      <c r="L2492" s="9"/>
      <c r="M2492" s="9"/>
    </row>
    <row r="2493" spans="1:13">
      <c r="A2493" s="9"/>
      <c r="B2493" s="9"/>
      <c r="C2493" s="9"/>
      <c r="D2493" s="9"/>
      <c r="E2493" s="9"/>
      <c r="F2493" s="9"/>
      <c r="G2493" s="9"/>
      <c r="H2493" s="9"/>
      <c r="I2493" s="9"/>
      <c r="J2493" s="9"/>
      <c r="K2493" s="9"/>
      <c r="L2493" s="9"/>
      <c r="M2493" s="9"/>
    </row>
    <row r="2494" spans="1:13">
      <c r="A2494" s="9"/>
      <c r="B2494" s="9"/>
      <c r="C2494" s="9"/>
      <c r="D2494" s="9"/>
      <c r="E2494" s="9"/>
      <c r="F2494" s="9"/>
      <c r="G2494" s="9"/>
      <c r="H2494" s="9"/>
      <c r="I2494" s="9"/>
      <c r="J2494" s="9"/>
      <c r="K2494" s="9"/>
      <c r="L2494" s="9"/>
      <c r="M2494" s="9"/>
    </row>
    <row r="2495" spans="1:13">
      <c r="A2495" s="9"/>
      <c r="B2495" s="9"/>
      <c r="C2495" s="9"/>
      <c r="D2495" s="9"/>
      <c r="E2495" s="9"/>
      <c r="F2495" s="9"/>
      <c r="G2495" s="9"/>
      <c r="H2495" s="9"/>
      <c r="I2495" s="9"/>
      <c r="J2495" s="9"/>
      <c r="K2495" s="9"/>
      <c r="L2495" s="9"/>
      <c r="M2495" s="9"/>
    </row>
    <row r="2496" spans="1:13">
      <c r="A2496" s="9"/>
      <c r="B2496" s="9"/>
      <c r="C2496" s="9"/>
      <c r="D2496" s="9"/>
      <c r="E2496" s="9"/>
      <c r="F2496" s="9"/>
      <c r="G2496" s="9"/>
      <c r="H2496" s="9"/>
      <c r="I2496" s="9"/>
      <c r="J2496" s="9"/>
      <c r="K2496" s="9"/>
      <c r="L2496" s="9"/>
      <c r="M2496" s="9"/>
    </row>
    <row r="2497" spans="1:13">
      <c r="A2497" s="9"/>
      <c r="B2497" s="9"/>
      <c r="C2497" s="9"/>
      <c r="D2497" s="9"/>
      <c r="E2497" s="9"/>
      <c r="F2497" s="9"/>
      <c r="G2497" s="9"/>
      <c r="H2497" s="9"/>
      <c r="I2497" s="9"/>
      <c r="J2497" s="9"/>
      <c r="K2497" s="9"/>
      <c r="L2497" s="9"/>
      <c r="M2497" s="9"/>
    </row>
    <row r="2498" spans="1:13">
      <c r="A2498" s="9"/>
      <c r="B2498" s="9"/>
      <c r="C2498" s="9"/>
      <c r="D2498" s="9"/>
      <c r="E2498" s="9"/>
      <c r="F2498" s="9"/>
      <c r="G2498" s="9"/>
      <c r="H2498" s="9"/>
      <c r="I2498" s="9"/>
      <c r="J2498" s="9"/>
      <c r="K2498" s="9"/>
      <c r="L2498" s="9"/>
      <c r="M2498" s="9"/>
    </row>
    <row r="2499" spans="1:13">
      <c r="A2499" s="9"/>
      <c r="B2499" s="9"/>
      <c r="C2499" s="9"/>
      <c r="D2499" s="9"/>
      <c r="E2499" s="9"/>
      <c r="F2499" s="9"/>
      <c r="G2499" s="9"/>
      <c r="H2499" s="9"/>
      <c r="I2499" s="9"/>
      <c r="J2499" s="9"/>
      <c r="K2499" s="9"/>
      <c r="L2499" s="9"/>
      <c r="M2499" s="9"/>
    </row>
    <row r="2500" spans="1:13">
      <c r="A2500" s="9"/>
      <c r="B2500" s="9"/>
      <c r="C2500" s="9"/>
      <c r="D2500" s="9"/>
      <c r="E2500" s="9"/>
      <c r="F2500" s="9"/>
      <c r="G2500" s="9"/>
      <c r="H2500" s="9"/>
      <c r="I2500" s="9"/>
      <c r="J2500" s="9"/>
      <c r="K2500" s="9"/>
      <c r="L2500" s="9"/>
      <c r="M2500" s="9"/>
    </row>
    <row r="2501" spans="1:13">
      <c r="A2501" s="9"/>
      <c r="B2501" s="9"/>
      <c r="C2501" s="9"/>
      <c r="D2501" s="9"/>
      <c r="E2501" s="9"/>
      <c r="F2501" s="9"/>
      <c r="G2501" s="9"/>
      <c r="H2501" s="9"/>
      <c r="I2501" s="9"/>
      <c r="J2501" s="9"/>
      <c r="K2501" s="9"/>
      <c r="L2501" s="9"/>
      <c r="M2501" s="9"/>
    </row>
    <row r="2502" spans="1:13">
      <c r="A2502" s="9"/>
      <c r="B2502" s="9"/>
      <c r="C2502" s="9"/>
      <c r="D2502" s="9"/>
      <c r="E2502" s="9"/>
      <c r="F2502" s="9"/>
      <c r="G2502" s="9"/>
      <c r="H2502" s="9"/>
      <c r="I2502" s="9"/>
      <c r="J2502" s="9"/>
      <c r="K2502" s="9"/>
      <c r="L2502" s="9"/>
      <c r="M2502" s="9"/>
    </row>
    <row r="2503" spans="1:13">
      <c r="A2503" s="9"/>
      <c r="B2503" s="9"/>
      <c r="C2503" s="9"/>
      <c r="D2503" s="9"/>
      <c r="E2503" s="9"/>
      <c r="F2503" s="9"/>
      <c r="G2503" s="9"/>
      <c r="H2503" s="9"/>
      <c r="I2503" s="9"/>
      <c r="J2503" s="9"/>
      <c r="K2503" s="9"/>
      <c r="L2503" s="9"/>
      <c r="M2503" s="9"/>
    </row>
    <row r="2504" spans="1:13">
      <c r="A2504" s="9"/>
      <c r="B2504" s="9"/>
      <c r="C2504" s="9"/>
      <c r="D2504" s="9"/>
      <c r="E2504" s="9"/>
      <c r="F2504" s="9"/>
      <c r="G2504" s="9"/>
      <c r="H2504" s="9"/>
      <c r="I2504" s="9"/>
      <c r="J2504" s="9"/>
      <c r="K2504" s="9"/>
      <c r="L2504" s="9"/>
      <c r="M2504" s="9"/>
    </row>
    <row r="2505" spans="1:13">
      <c r="A2505" s="9"/>
      <c r="B2505" s="9"/>
      <c r="C2505" s="9"/>
      <c r="D2505" s="9"/>
      <c r="E2505" s="9"/>
      <c r="F2505" s="9"/>
      <c r="G2505" s="9"/>
      <c r="H2505" s="9"/>
      <c r="I2505" s="9"/>
      <c r="J2505" s="9"/>
      <c r="K2505" s="9"/>
      <c r="L2505" s="9"/>
      <c r="M2505" s="9"/>
    </row>
    <row r="2506" spans="1:13">
      <c r="A2506" s="9"/>
      <c r="B2506" s="9"/>
      <c r="C2506" s="9"/>
      <c r="D2506" s="9"/>
      <c r="E2506" s="9"/>
      <c r="F2506" s="9"/>
      <c r="G2506" s="9"/>
      <c r="H2506" s="9"/>
      <c r="I2506" s="9"/>
      <c r="J2506" s="9"/>
      <c r="K2506" s="9"/>
      <c r="L2506" s="9"/>
      <c r="M2506" s="9"/>
    </row>
    <row r="2507" spans="1:13">
      <c r="A2507" s="9"/>
      <c r="B2507" s="9"/>
      <c r="C2507" s="9"/>
      <c r="D2507" s="9"/>
      <c r="E2507" s="9"/>
      <c r="F2507" s="9"/>
      <c r="G2507" s="9"/>
      <c r="H2507" s="9"/>
      <c r="I2507" s="9"/>
      <c r="J2507" s="9"/>
      <c r="K2507" s="9"/>
      <c r="L2507" s="9"/>
      <c r="M2507" s="9"/>
    </row>
    <row r="2508" spans="1:13">
      <c r="A2508" s="9"/>
      <c r="B2508" s="9"/>
      <c r="C2508" s="9"/>
      <c r="D2508" s="9"/>
      <c r="E2508" s="9"/>
      <c r="F2508" s="9"/>
      <c r="G2508" s="9"/>
      <c r="H2508" s="9"/>
      <c r="I2508" s="9"/>
      <c r="J2508" s="9"/>
      <c r="K2508" s="9"/>
      <c r="L2508" s="9"/>
      <c r="M2508" s="9"/>
    </row>
    <row r="2509" spans="1:13">
      <c r="A2509" s="9"/>
      <c r="B2509" s="9"/>
      <c r="C2509" s="9"/>
      <c r="D2509" s="9"/>
      <c r="E2509" s="9"/>
      <c r="F2509" s="9"/>
      <c r="G2509" s="9"/>
      <c r="H2509" s="9"/>
      <c r="I2509" s="9"/>
      <c r="J2509" s="9"/>
      <c r="K2509" s="9"/>
      <c r="L2509" s="9"/>
      <c r="M2509" s="9"/>
    </row>
    <row r="2510" spans="1:13">
      <c r="A2510" s="9"/>
      <c r="B2510" s="9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</row>
    <row r="2511" spans="1:13">
      <c r="A2511" s="9"/>
      <c r="B2511" s="9"/>
      <c r="C2511" s="9"/>
      <c r="D2511" s="9"/>
      <c r="E2511" s="9"/>
      <c r="F2511" s="9"/>
      <c r="G2511" s="9"/>
      <c r="H2511" s="9"/>
      <c r="I2511" s="9"/>
      <c r="J2511" s="9"/>
      <c r="K2511" s="9"/>
      <c r="L2511" s="9"/>
      <c r="M2511" s="9"/>
    </row>
    <row r="2512" spans="1:13">
      <c r="A2512" s="9"/>
      <c r="B2512" s="9"/>
      <c r="C2512" s="9"/>
      <c r="D2512" s="9"/>
      <c r="E2512" s="9"/>
      <c r="F2512" s="9"/>
      <c r="G2512" s="9"/>
      <c r="H2512" s="9"/>
      <c r="I2512" s="9"/>
      <c r="J2512" s="9"/>
      <c r="K2512" s="9"/>
      <c r="L2512" s="9"/>
      <c r="M2512" s="9"/>
    </row>
    <row r="2513" spans="1:13">
      <c r="A2513" s="9"/>
      <c r="B2513" s="9"/>
      <c r="C2513" s="9"/>
      <c r="D2513" s="9"/>
      <c r="E2513" s="9"/>
      <c r="F2513" s="9"/>
      <c r="G2513" s="9"/>
      <c r="H2513" s="9"/>
      <c r="I2513" s="9"/>
      <c r="J2513" s="9"/>
      <c r="K2513" s="9"/>
      <c r="L2513" s="9"/>
      <c r="M2513" s="9"/>
    </row>
    <row r="2514" spans="1:13">
      <c r="A2514" s="9"/>
      <c r="B2514" s="9"/>
      <c r="C2514" s="9"/>
      <c r="D2514" s="9"/>
      <c r="E2514" s="9"/>
      <c r="F2514" s="9"/>
      <c r="G2514" s="9"/>
      <c r="H2514" s="9"/>
      <c r="I2514" s="9"/>
      <c r="J2514" s="9"/>
      <c r="K2514" s="9"/>
      <c r="L2514" s="9"/>
      <c r="M2514" s="9"/>
    </row>
    <row r="2515" spans="1:13">
      <c r="A2515" s="9"/>
      <c r="B2515" s="9"/>
      <c r="C2515" s="9"/>
      <c r="D2515" s="9"/>
      <c r="E2515" s="9"/>
      <c r="F2515" s="9"/>
      <c r="G2515" s="9"/>
      <c r="H2515" s="9"/>
      <c r="I2515" s="9"/>
      <c r="J2515" s="9"/>
      <c r="K2515" s="9"/>
      <c r="L2515" s="9"/>
      <c r="M2515" s="9"/>
    </row>
    <row r="2516" spans="1:13">
      <c r="A2516" s="9"/>
      <c r="B2516" s="9"/>
      <c r="C2516" s="9"/>
      <c r="D2516" s="9"/>
      <c r="E2516" s="9"/>
      <c r="F2516" s="9"/>
      <c r="G2516" s="9"/>
      <c r="H2516" s="9"/>
      <c r="I2516" s="9"/>
      <c r="J2516" s="9"/>
      <c r="K2516" s="9"/>
      <c r="L2516" s="9"/>
      <c r="M2516" s="9"/>
    </row>
    <row r="2517" spans="1:13">
      <c r="A2517" s="9"/>
      <c r="B2517" s="9"/>
      <c r="C2517" s="9"/>
      <c r="D2517" s="9"/>
      <c r="E2517" s="9"/>
      <c r="F2517" s="9"/>
      <c r="G2517" s="9"/>
      <c r="H2517" s="9"/>
      <c r="I2517" s="9"/>
      <c r="J2517" s="9"/>
      <c r="K2517" s="9"/>
      <c r="L2517" s="9"/>
      <c r="M2517" s="9"/>
    </row>
    <row r="2518" spans="1:13">
      <c r="A2518" s="9"/>
      <c r="B2518" s="9"/>
      <c r="C2518" s="9"/>
      <c r="D2518" s="9"/>
      <c r="E2518" s="9"/>
      <c r="F2518" s="9"/>
      <c r="G2518" s="9"/>
      <c r="H2518" s="9"/>
      <c r="I2518" s="9"/>
      <c r="J2518" s="9"/>
      <c r="K2518" s="9"/>
      <c r="L2518" s="9"/>
      <c r="M2518" s="9"/>
    </row>
    <row r="2519" spans="1:13">
      <c r="A2519" s="9"/>
      <c r="B2519" s="9"/>
      <c r="C2519" s="9"/>
      <c r="D2519" s="9"/>
      <c r="E2519" s="9"/>
      <c r="F2519" s="9"/>
      <c r="G2519" s="9"/>
      <c r="H2519" s="9"/>
      <c r="I2519" s="9"/>
      <c r="J2519" s="9"/>
      <c r="K2519" s="9"/>
      <c r="L2519" s="9"/>
      <c r="M2519" s="9"/>
    </row>
    <row r="2520" spans="1:13">
      <c r="A2520" s="9"/>
      <c r="B2520" s="9"/>
      <c r="C2520" s="9"/>
      <c r="D2520" s="9"/>
      <c r="E2520" s="9"/>
      <c r="F2520" s="9"/>
      <c r="G2520" s="9"/>
      <c r="H2520" s="9"/>
      <c r="I2520" s="9"/>
      <c r="J2520" s="9"/>
      <c r="K2520" s="9"/>
      <c r="L2520" s="9"/>
      <c r="M2520" s="9"/>
    </row>
    <row r="2521" spans="1:13">
      <c r="A2521" s="9"/>
      <c r="B2521" s="9"/>
      <c r="C2521" s="9"/>
      <c r="D2521" s="9"/>
      <c r="E2521" s="9"/>
      <c r="F2521" s="9"/>
      <c r="G2521" s="9"/>
      <c r="H2521" s="9"/>
      <c r="I2521" s="9"/>
      <c r="J2521" s="9"/>
      <c r="K2521" s="9"/>
      <c r="L2521" s="9"/>
      <c r="M2521" s="9"/>
    </row>
    <row r="2522" spans="1:13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</row>
    <row r="2523" spans="1:13">
      <c r="A2523" s="9"/>
      <c r="B2523" s="9"/>
      <c r="C2523" s="9"/>
      <c r="D2523" s="9"/>
      <c r="E2523" s="9"/>
      <c r="F2523" s="9"/>
      <c r="G2523" s="9"/>
      <c r="H2523" s="9"/>
      <c r="I2523" s="9"/>
      <c r="J2523" s="9"/>
      <c r="K2523" s="9"/>
      <c r="L2523" s="9"/>
      <c r="M2523" s="9"/>
    </row>
    <row r="2524" spans="1:13">
      <c r="A2524" s="9"/>
      <c r="B2524" s="9"/>
      <c r="C2524" s="9"/>
      <c r="D2524" s="9"/>
      <c r="E2524" s="9"/>
      <c r="F2524" s="9"/>
      <c r="G2524" s="9"/>
      <c r="H2524" s="9"/>
      <c r="I2524" s="9"/>
      <c r="J2524" s="9"/>
      <c r="K2524" s="9"/>
      <c r="L2524" s="9"/>
      <c r="M2524" s="9"/>
    </row>
    <row r="2525" spans="1:13">
      <c r="A2525" s="9"/>
      <c r="B2525" s="9"/>
      <c r="C2525" s="9"/>
      <c r="D2525" s="9"/>
      <c r="E2525" s="9"/>
      <c r="F2525" s="9"/>
      <c r="G2525" s="9"/>
      <c r="H2525" s="9"/>
      <c r="I2525" s="9"/>
      <c r="J2525" s="9"/>
      <c r="K2525" s="9"/>
      <c r="L2525" s="9"/>
      <c r="M2525" s="9"/>
    </row>
    <row r="2526" spans="1:13">
      <c r="A2526" s="9"/>
      <c r="B2526" s="9"/>
      <c r="C2526" s="9"/>
      <c r="D2526" s="9"/>
      <c r="E2526" s="9"/>
      <c r="F2526" s="9"/>
      <c r="G2526" s="9"/>
      <c r="H2526" s="9"/>
      <c r="I2526" s="9"/>
      <c r="J2526" s="9"/>
      <c r="K2526" s="9"/>
      <c r="L2526" s="9"/>
      <c r="M2526" s="9"/>
    </row>
    <row r="2527" spans="1:13">
      <c r="A2527" s="9"/>
      <c r="B2527" s="9"/>
      <c r="C2527" s="9"/>
      <c r="D2527" s="9"/>
      <c r="E2527" s="9"/>
      <c r="F2527" s="9"/>
      <c r="G2527" s="9"/>
      <c r="H2527" s="9"/>
      <c r="I2527" s="9"/>
      <c r="J2527" s="9"/>
      <c r="K2527" s="9"/>
      <c r="L2527" s="9"/>
      <c r="M2527" s="9"/>
    </row>
    <row r="2528" spans="1:13">
      <c r="A2528" s="9"/>
      <c r="B2528" s="9"/>
      <c r="C2528" s="9"/>
      <c r="D2528" s="9"/>
      <c r="E2528" s="9"/>
      <c r="F2528" s="9"/>
      <c r="G2528" s="9"/>
      <c r="H2528" s="9"/>
      <c r="I2528" s="9"/>
      <c r="J2528" s="9"/>
      <c r="K2528" s="9"/>
      <c r="L2528" s="9"/>
      <c r="M2528" s="9"/>
    </row>
    <row r="2529" spans="1:13">
      <c r="A2529" s="9"/>
      <c r="B2529" s="9"/>
      <c r="C2529" s="9"/>
      <c r="D2529" s="9"/>
      <c r="E2529" s="9"/>
      <c r="F2529" s="9"/>
      <c r="G2529" s="9"/>
      <c r="H2529" s="9"/>
      <c r="I2529" s="9"/>
      <c r="J2529" s="9"/>
      <c r="K2529" s="9"/>
      <c r="L2529" s="9"/>
      <c r="M2529" s="9"/>
    </row>
    <row r="2530" spans="1:13">
      <c r="A2530" s="9"/>
      <c r="B2530" s="9"/>
      <c r="C2530" s="9"/>
      <c r="D2530" s="9"/>
      <c r="E2530" s="9"/>
      <c r="F2530" s="9"/>
      <c r="G2530" s="9"/>
      <c r="H2530" s="9"/>
      <c r="I2530" s="9"/>
      <c r="J2530" s="9"/>
      <c r="K2530" s="9"/>
      <c r="L2530" s="9"/>
      <c r="M2530" s="9"/>
    </row>
    <row r="2531" spans="1:13">
      <c r="A2531" s="9"/>
      <c r="B2531" s="9"/>
      <c r="C2531" s="9"/>
      <c r="D2531" s="9"/>
      <c r="E2531" s="9"/>
      <c r="F2531" s="9"/>
      <c r="G2531" s="9"/>
      <c r="H2531" s="9"/>
      <c r="I2531" s="9"/>
      <c r="J2531" s="9"/>
      <c r="K2531" s="9"/>
      <c r="L2531" s="9"/>
      <c r="M2531" s="9"/>
    </row>
    <row r="2532" spans="1:13">
      <c r="A2532" s="9"/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s="9"/>
    </row>
    <row r="2533" spans="1:13">
      <c r="A2533" s="9"/>
      <c r="B2533" s="9"/>
      <c r="C2533" s="9"/>
      <c r="D2533" s="9"/>
      <c r="E2533" s="9"/>
      <c r="F2533" s="9"/>
      <c r="G2533" s="9"/>
      <c r="H2533" s="9"/>
      <c r="I2533" s="9"/>
      <c r="J2533" s="9"/>
      <c r="K2533" s="9"/>
      <c r="L2533" s="9"/>
      <c r="M2533" s="9"/>
    </row>
    <row r="2534" spans="1:13">
      <c r="A2534" s="9"/>
      <c r="B2534" s="9"/>
      <c r="C2534" s="9"/>
      <c r="D2534" s="9"/>
      <c r="E2534" s="9"/>
      <c r="F2534" s="9"/>
      <c r="G2534" s="9"/>
      <c r="H2534" s="9"/>
      <c r="I2534" s="9"/>
      <c r="J2534" s="9"/>
      <c r="K2534" s="9"/>
      <c r="L2534" s="9"/>
      <c r="M2534" s="9"/>
    </row>
    <row r="2535" spans="1:13">
      <c r="A2535" s="9"/>
      <c r="B2535" s="9"/>
      <c r="C2535" s="9"/>
      <c r="D2535" s="9"/>
      <c r="E2535" s="9"/>
      <c r="F2535" s="9"/>
      <c r="G2535" s="9"/>
      <c r="H2535" s="9"/>
      <c r="I2535" s="9"/>
      <c r="J2535" s="9"/>
      <c r="K2535" s="9"/>
      <c r="L2535" s="9"/>
      <c r="M2535" s="9"/>
    </row>
    <row r="2536" spans="1:13">
      <c r="A2536" s="9"/>
      <c r="B2536" s="9"/>
      <c r="C2536" s="9"/>
      <c r="D2536" s="9"/>
      <c r="E2536" s="9"/>
      <c r="F2536" s="9"/>
      <c r="G2536" s="9"/>
      <c r="H2536" s="9"/>
      <c r="I2536" s="9"/>
      <c r="J2536" s="9"/>
      <c r="K2536" s="9"/>
      <c r="L2536" s="9"/>
      <c r="M2536" s="9"/>
    </row>
    <row r="2537" spans="1:13">
      <c r="A2537" s="9"/>
      <c r="B2537" s="9"/>
      <c r="C2537" s="9"/>
      <c r="D2537" s="9"/>
      <c r="E2537" s="9"/>
      <c r="F2537" s="9"/>
      <c r="G2537" s="9"/>
      <c r="H2537" s="9"/>
      <c r="I2537" s="9"/>
      <c r="J2537" s="9"/>
      <c r="K2537" s="9"/>
      <c r="L2537" s="9"/>
      <c r="M2537" s="9"/>
    </row>
    <row r="2538" spans="1:13">
      <c r="A2538" s="9"/>
      <c r="B2538" s="9"/>
      <c r="C2538" s="9"/>
      <c r="D2538" s="9"/>
      <c r="E2538" s="9"/>
      <c r="F2538" s="9"/>
      <c r="G2538" s="9"/>
      <c r="H2538" s="9"/>
      <c r="I2538" s="9"/>
      <c r="J2538" s="9"/>
      <c r="K2538" s="9"/>
      <c r="L2538" s="9"/>
      <c r="M2538" s="9"/>
    </row>
    <row r="2539" spans="1:13">
      <c r="A2539" s="9"/>
      <c r="B2539" s="9"/>
      <c r="C2539" s="9"/>
      <c r="D2539" s="9"/>
      <c r="E2539" s="9"/>
      <c r="F2539" s="9"/>
      <c r="G2539" s="9"/>
      <c r="H2539" s="9"/>
      <c r="I2539" s="9"/>
      <c r="J2539" s="9"/>
      <c r="K2539" s="9"/>
      <c r="L2539" s="9"/>
      <c r="M2539" s="9"/>
    </row>
    <row r="2540" spans="1:13">
      <c r="A2540" s="9"/>
      <c r="B2540" s="9"/>
      <c r="C2540" s="9"/>
      <c r="D2540" s="9"/>
      <c r="E2540" s="9"/>
      <c r="F2540" s="9"/>
      <c r="G2540" s="9"/>
      <c r="H2540" s="9"/>
      <c r="I2540" s="9"/>
      <c r="J2540" s="9"/>
      <c r="K2540" s="9"/>
      <c r="L2540" s="9"/>
      <c r="M2540" s="9"/>
    </row>
    <row r="2541" spans="1:13">
      <c r="A2541" s="9"/>
      <c r="B2541" s="9"/>
      <c r="C2541" s="9"/>
      <c r="D2541" s="9"/>
      <c r="E2541" s="9"/>
      <c r="F2541" s="9"/>
      <c r="G2541" s="9"/>
      <c r="H2541" s="9"/>
      <c r="I2541" s="9"/>
      <c r="J2541" s="9"/>
      <c r="K2541" s="9"/>
      <c r="L2541" s="9"/>
      <c r="M2541" s="9"/>
    </row>
    <row r="2542" spans="1:13">
      <c r="A2542" s="9"/>
      <c r="B2542" s="9"/>
      <c r="C2542" s="9"/>
      <c r="D2542" s="9"/>
      <c r="E2542" s="9"/>
      <c r="F2542" s="9"/>
      <c r="G2542" s="9"/>
      <c r="H2542" s="9"/>
      <c r="I2542" s="9"/>
      <c r="J2542" s="9"/>
      <c r="K2542" s="9"/>
      <c r="L2542" s="9"/>
      <c r="M2542" s="9"/>
    </row>
    <row r="2543" spans="1:13">
      <c r="A2543" s="9"/>
      <c r="B2543" s="9"/>
      <c r="C2543" s="9"/>
      <c r="D2543" s="9"/>
      <c r="E2543" s="9"/>
      <c r="F2543" s="9"/>
      <c r="G2543" s="9"/>
      <c r="H2543" s="9"/>
      <c r="I2543" s="9"/>
      <c r="J2543" s="9"/>
      <c r="K2543" s="9"/>
      <c r="L2543" s="9"/>
      <c r="M2543" s="9"/>
    </row>
    <row r="2544" spans="1:13">
      <c r="A2544" s="9"/>
      <c r="B2544" s="9"/>
      <c r="C2544" s="9"/>
      <c r="D2544" s="9"/>
      <c r="E2544" s="9"/>
      <c r="F2544" s="9"/>
      <c r="G2544" s="9"/>
      <c r="H2544" s="9"/>
      <c r="I2544" s="9"/>
      <c r="J2544" s="9"/>
      <c r="K2544" s="9"/>
      <c r="L2544" s="9"/>
      <c r="M2544" s="9"/>
    </row>
    <row r="2545" spans="1:13">
      <c r="A2545" s="9"/>
      <c r="B2545" s="9"/>
      <c r="C2545" s="9"/>
      <c r="D2545" s="9"/>
      <c r="E2545" s="9"/>
      <c r="F2545" s="9"/>
      <c r="G2545" s="9"/>
      <c r="H2545" s="9"/>
      <c r="I2545" s="9"/>
      <c r="J2545" s="9"/>
      <c r="K2545" s="9"/>
      <c r="L2545" s="9"/>
      <c r="M2545" s="9"/>
    </row>
    <row r="2546" spans="1:13">
      <c r="A2546" s="9"/>
      <c r="B2546" s="9"/>
      <c r="C2546" s="9"/>
      <c r="D2546" s="9"/>
      <c r="E2546" s="9"/>
      <c r="F2546" s="9"/>
      <c r="G2546" s="9"/>
      <c r="H2546" s="9"/>
      <c r="I2546" s="9"/>
      <c r="J2546" s="9"/>
      <c r="K2546" s="9"/>
      <c r="L2546" s="9"/>
      <c r="M2546" s="9"/>
    </row>
    <row r="2547" spans="1:13">
      <c r="A2547" s="9"/>
      <c r="B2547" s="9"/>
      <c r="C2547" s="9"/>
      <c r="D2547" s="9"/>
      <c r="E2547" s="9"/>
      <c r="F2547" s="9"/>
      <c r="G2547" s="9"/>
      <c r="H2547" s="9"/>
      <c r="I2547" s="9"/>
      <c r="J2547" s="9"/>
      <c r="K2547" s="9"/>
      <c r="L2547" s="9"/>
      <c r="M2547" s="9"/>
    </row>
    <row r="2548" spans="1:13">
      <c r="A2548" s="9"/>
      <c r="B2548" s="9"/>
      <c r="C2548" s="9"/>
      <c r="D2548" s="9"/>
      <c r="E2548" s="9"/>
      <c r="F2548" s="9"/>
      <c r="G2548" s="9"/>
      <c r="H2548" s="9"/>
      <c r="I2548" s="9"/>
      <c r="J2548" s="9"/>
      <c r="K2548" s="9"/>
      <c r="L2548" s="9"/>
      <c r="M2548" s="9"/>
    </row>
    <row r="2549" spans="1:13">
      <c r="A2549" s="9"/>
      <c r="B2549" s="9"/>
      <c r="C2549" s="9"/>
      <c r="D2549" s="9"/>
      <c r="E2549" s="9"/>
      <c r="F2549" s="9"/>
      <c r="G2549" s="9"/>
      <c r="H2549" s="9"/>
      <c r="I2549" s="9"/>
      <c r="J2549" s="9"/>
      <c r="K2549" s="9"/>
      <c r="L2549" s="9"/>
      <c r="M2549" s="9"/>
    </row>
    <row r="2550" spans="1:13">
      <c r="A2550" s="9"/>
      <c r="B2550" s="9"/>
      <c r="C2550" s="9"/>
      <c r="D2550" s="9"/>
      <c r="E2550" s="9"/>
      <c r="F2550" s="9"/>
      <c r="G2550" s="9"/>
      <c r="H2550" s="9"/>
      <c r="I2550" s="9"/>
      <c r="J2550" s="9"/>
      <c r="K2550" s="9"/>
      <c r="L2550" s="9"/>
      <c r="M2550" s="9"/>
    </row>
    <row r="2551" spans="1:13">
      <c r="A2551" s="9"/>
      <c r="B2551" s="9"/>
      <c r="C2551" s="9"/>
      <c r="D2551" s="9"/>
      <c r="E2551" s="9"/>
      <c r="F2551" s="9"/>
      <c r="G2551" s="9"/>
      <c r="H2551" s="9"/>
      <c r="I2551" s="9"/>
      <c r="J2551" s="9"/>
      <c r="K2551" s="9"/>
      <c r="L2551" s="9"/>
      <c r="M2551" s="9"/>
    </row>
    <row r="2552" spans="1:13">
      <c r="A2552" s="9"/>
      <c r="B2552" s="9"/>
      <c r="C2552" s="9"/>
      <c r="D2552" s="9"/>
      <c r="E2552" s="9"/>
      <c r="F2552" s="9"/>
      <c r="G2552" s="9"/>
      <c r="H2552" s="9"/>
      <c r="I2552" s="9"/>
      <c r="J2552" s="9"/>
      <c r="K2552" s="9"/>
      <c r="L2552" s="9"/>
      <c r="M2552" s="9"/>
    </row>
    <row r="2553" spans="1:13">
      <c r="A2553" s="9"/>
      <c r="B2553" s="9"/>
      <c r="C2553" s="9"/>
      <c r="D2553" s="9"/>
      <c r="E2553" s="9"/>
      <c r="F2553" s="9"/>
      <c r="G2553" s="9"/>
      <c r="H2553" s="9"/>
      <c r="I2553" s="9"/>
      <c r="J2553" s="9"/>
      <c r="K2553" s="9"/>
      <c r="L2553" s="9"/>
      <c r="M2553" s="9"/>
    </row>
    <row r="2554" spans="1:13">
      <c r="A2554" s="9"/>
      <c r="B2554" s="9"/>
      <c r="C2554" s="9"/>
      <c r="D2554" s="9"/>
      <c r="E2554" s="9"/>
      <c r="F2554" s="9"/>
      <c r="G2554" s="9"/>
      <c r="H2554" s="9"/>
      <c r="I2554" s="9"/>
      <c r="J2554" s="9"/>
      <c r="K2554" s="9"/>
      <c r="L2554" s="9"/>
      <c r="M2554" s="9"/>
    </row>
    <row r="2555" spans="1:13">
      <c r="A2555" s="9"/>
      <c r="B2555" s="9"/>
      <c r="C2555" s="9"/>
      <c r="D2555" s="9"/>
      <c r="E2555" s="9"/>
      <c r="F2555" s="9"/>
      <c r="G2555" s="9"/>
      <c r="H2555" s="9"/>
      <c r="I2555" s="9"/>
      <c r="J2555" s="9"/>
      <c r="K2555" s="9"/>
      <c r="L2555" s="9"/>
      <c r="M2555" s="9"/>
    </row>
    <row r="2556" spans="1:13">
      <c r="A2556" s="9"/>
      <c r="B2556" s="9"/>
      <c r="C2556" s="9"/>
      <c r="D2556" s="9"/>
      <c r="E2556" s="9"/>
      <c r="F2556" s="9"/>
      <c r="G2556" s="9"/>
      <c r="H2556" s="9"/>
      <c r="I2556" s="9"/>
      <c r="J2556" s="9"/>
      <c r="K2556" s="9"/>
      <c r="L2556" s="9"/>
      <c r="M2556" s="9"/>
    </row>
    <row r="2557" spans="1:13">
      <c r="A2557" s="9"/>
      <c r="B2557" s="9"/>
      <c r="C2557" s="9"/>
      <c r="D2557" s="9"/>
      <c r="E2557" s="9"/>
      <c r="F2557" s="9"/>
      <c r="G2557" s="9"/>
      <c r="H2557" s="9"/>
      <c r="I2557" s="9"/>
      <c r="J2557" s="9"/>
      <c r="K2557" s="9"/>
      <c r="L2557" s="9"/>
      <c r="M2557" s="9"/>
    </row>
    <row r="2558" spans="1:13">
      <c r="A2558" s="9"/>
      <c r="B2558" s="9"/>
      <c r="C2558" s="9"/>
      <c r="D2558" s="9"/>
      <c r="E2558" s="9"/>
      <c r="F2558" s="9"/>
      <c r="G2558" s="9"/>
      <c r="H2558" s="9"/>
      <c r="I2558" s="9"/>
      <c r="J2558" s="9"/>
      <c r="K2558" s="9"/>
      <c r="L2558" s="9"/>
      <c r="M2558" s="9"/>
    </row>
    <row r="2559" spans="1:13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9"/>
      <c r="L2559" s="9"/>
      <c r="M2559" s="9"/>
    </row>
    <row r="2560" spans="1:13">
      <c r="A2560" s="9"/>
      <c r="B2560" s="9"/>
      <c r="C2560" s="9"/>
      <c r="D2560" s="9"/>
      <c r="E2560" s="9"/>
      <c r="F2560" s="9"/>
      <c r="G2560" s="9"/>
      <c r="H2560" s="9"/>
      <c r="I2560" s="9"/>
      <c r="J2560" s="9"/>
      <c r="K2560" s="9"/>
      <c r="L2560" s="9"/>
      <c r="M2560" s="9"/>
    </row>
    <row r="2561" spans="1:13">
      <c r="A2561" s="9"/>
      <c r="B2561" s="9"/>
      <c r="C2561" s="9"/>
      <c r="D2561" s="9"/>
      <c r="E2561" s="9"/>
      <c r="F2561" s="9"/>
      <c r="G2561" s="9"/>
      <c r="H2561" s="9"/>
      <c r="I2561" s="9"/>
      <c r="J2561" s="9"/>
      <c r="K2561" s="9"/>
      <c r="L2561" s="9"/>
      <c r="M2561" s="9"/>
    </row>
    <row r="2562" spans="1:13">
      <c r="A2562" s="9"/>
      <c r="B2562" s="9"/>
      <c r="C2562" s="9"/>
      <c r="D2562" s="9"/>
      <c r="E2562" s="9"/>
      <c r="F2562" s="9"/>
      <c r="G2562" s="9"/>
      <c r="H2562" s="9"/>
      <c r="I2562" s="9"/>
      <c r="J2562" s="9"/>
      <c r="K2562" s="9"/>
      <c r="L2562" s="9"/>
      <c r="M2562" s="9"/>
    </row>
    <row r="2563" spans="1:13">
      <c r="A2563" s="9"/>
      <c r="B2563" s="9"/>
      <c r="C2563" s="9"/>
      <c r="D2563" s="9"/>
      <c r="E2563" s="9"/>
      <c r="F2563" s="9"/>
      <c r="G2563" s="9"/>
      <c r="H2563" s="9"/>
      <c r="I2563" s="9"/>
      <c r="J2563" s="9"/>
      <c r="K2563" s="9"/>
      <c r="L2563" s="9"/>
      <c r="M2563" s="9"/>
    </row>
    <row r="2564" spans="1:13">
      <c r="A2564" s="9"/>
      <c r="B2564" s="9"/>
      <c r="C2564" s="9"/>
      <c r="D2564" s="9"/>
      <c r="E2564" s="9"/>
      <c r="F2564" s="9"/>
      <c r="G2564" s="9"/>
      <c r="H2564" s="9"/>
      <c r="I2564" s="9"/>
      <c r="J2564" s="9"/>
      <c r="K2564" s="9"/>
      <c r="L2564" s="9"/>
      <c r="M2564" s="9"/>
    </row>
    <row r="2565" spans="1:13">
      <c r="A2565" s="9"/>
      <c r="B2565" s="9"/>
      <c r="C2565" s="9"/>
      <c r="D2565" s="9"/>
      <c r="E2565" s="9"/>
      <c r="F2565" s="9"/>
      <c r="G2565" s="9"/>
      <c r="H2565" s="9"/>
      <c r="I2565" s="9"/>
      <c r="J2565" s="9"/>
      <c r="K2565" s="9"/>
      <c r="L2565" s="9"/>
      <c r="M2565" s="9"/>
    </row>
    <row r="2566" spans="1:13">
      <c r="A2566" s="9"/>
      <c r="B2566" s="9"/>
      <c r="C2566" s="9"/>
      <c r="D2566" s="9"/>
      <c r="E2566" s="9"/>
      <c r="F2566" s="9"/>
      <c r="G2566" s="9"/>
      <c r="H2566" s="9"/>
      <c r="I2566" s="9"/>
      <c r="J2566" s="9"/>
      <c r="K2566" s="9"/>
      <c r="L2566" s="9"/>
      <c r="M2566" s="9"/>
    </row>
    <row r="2567" spans="1:13">
      <c r="A2567" s="9"/>
      <c r="B2567" s="9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</row>
    <row r="2568" spans="1:13">
      <c r="A2568" s="9"/>
      <c r="B2568" s="9"/>
      <c r="C2568" s="9"/>
      <c r="D2568" s="9"/>
      <c r="E2568" s="9"/>
      <c r="F2568" s="9"/>
      <c r="G2568" s="9"/>
      <c r="H2568" s="9"/>
      <c r="I2568" s="9"/>
      <c r="J2568" s="9"/>
      <c r="K2568" s="9"/>
      <c r="L2568" s="9"/>
      <c r="M2568" s="9"/>
    </row>
    <row r="2569" spans="1:13">
      <c r="A2569" s="9"/>
      <c r="B2569" s="9"/>
      <c r="C2569" s="9"/>
      <c r="D2569" s="9"/>
      <c r="E2569" s="9"/>
      <c r="F2569" s="9"/>
      <c r="G2569" s="9"/>
      <c r="H2569" s="9"/>
      <c r="I2569" s="9"/>
      <c r="J2569" s="9"/>
      <c r="K2569" s="9"/>
      <c r="L2569" s="9"/>
      <c r="M2569" s="9"/>
    </row>
    <row r="2570" spans="1:13">
      <c r="A2570" s="9"/>
      <c r="B2570" s="9"/>
      <c r="C2570" s="9"/>
      <c r="D2570" s="9"/>
      <c r="E2570" s="9"/>
      <c r="F2570" s="9"/>
      <c r="G2570" s="9"/>
      <c r="H2570" s="9"/>
      <c r="I2570" s="9"/>
      <c r="J2570" s="9"/>
      <c r="K2570" s="9"/>
      <c r="L2570" s="9"/>
      <c r="M2570" s="9"/>
    </row>
    <row r="2571" spans="1:13">
      <c r="A2571" s="9"/>
      <c r="B2571" s="9"/>
      <c r="C2571" s="9"/>
      <c r="D2571" s="9"/>
      <c r="E2571" s="9"/>
      <c r="F2571" s="9"/>
      <c r="G2571" s="9"/>
      <c r="H2571" s="9"/>
      <c r="I2571" s="9"/>
      <c r="J2571" s="9"/>
      <c r="K2571" s="9"/>
      <c r="L2571" s="9"/>
      <c r="M2571" s="9"/>
    </row>
    <row r="2572" spans="1:13">
      <c r="A2572" s="9"/>
      <c r="B2572" s="9"/>
      <c r="C2572" s="9"/>
      <c r="D2572" s="9"/>
      <c r="E2572" s="9"/>
      <c r="F2572" s="9"/>
      <c r="G2572" s="9"/>
      <c r="H2572" s="9"/>
      <c r="I2572" s="9"/>
      <c r="J2572" s="9"/>
      <c r="K2572" s="9"/>
      <c r="L2572" s="9"/>
      <c r="M2572" s="9"/>
    </row>
    <row r="2573" spans="1:13">
      <c r="A2573" s="9"/>
      <c r="B2573" s="9"/>
      <c r="C2573" s="9"/>
      <c r="D2573" s="9"/>
      <c r="E2573" s="9"/>
      <c r="F2573" s="9"/>
      <c r="G2573" s="9"/>
      <c r="H2573" s="9"/>
      <c r="I2573" s="9"/>
      <c r="J2573" s="9"/>
      <c r="K2573" s="9"/>
      <c r="L2573" s="9"/>
      <c r="M2573" s="9"/>
    </row>
    <row r="2574" spans="1:13">
      <c r="A2574" s="9"/>
      <c r="B2574" s="9"/>
      <c r="C2574" s="9"/>
      <c r="D2574" s="9"/>
      <c r="E2574" s="9"/>
      <c r="F2574" s="9"/>
      <c r="G2574" s="9"/>
      <c r="H2574" s="9"/>
      <c r="I2574" s="9"/>
      <c r="J2574" s="9"/>
      <c r="K2574" s="9"/>
      <c r="L2574" s="9"/>
      <c r="M2574" s="9"/>
    </row>
    <row r="2575" spans="1:13">
      <c r="A2575" s="9"/>
      <c r="B2575" s="9"/>
      <c r="C2575" s="9"/>
      <c r="D2575" s="9"/>
      <c r="E2575" s="9"/>
      <c r="F2575" s="9"/>
      <c r="G2575" s="9"/>
      <c r="H2575" s="9"/>
      <c r="I2575" s="9"/>
      <c r="J2575" s="9"/>
      <c r="K2575" s="9"/>
      <c r="L2575" s="9"/>
      <c r="M2575" s="9"/>
    </row>
    <row r="2576" spans="1:13">
      <c r="A2576" s="9"/>
      <c r="B2576" s="9"/>
      <c r="C2576" s="9"/>
      <c r="D2576" s="9"/>
      <c r="E2576" s="9"/>
      <c r="F2576" s="9"/>
      <c r="G2576" s="9"/>
      <c r="H2576" s="9"/>
      <c r="I2576" s="9"/>
      <c r="J2576" s="9"/>
      <c r="K2576" s="9"/>
      <c r="L2576" s="9"/>
      <c r="M2576" s="9"/>
    </row>
    <row r="2577" spans="1:13">
      <c r="A2577" s="9"/>
      <c r="B2577" s="9"/>
      <c r="C2577" s="9"/>
      <c r="D2577" s="9"/>
      <c r="E2577" s="9"/>
      <c r="F2577" s="9"/>
      <c r="G2577" s="9"/>
      <c r="H2577" s="9"/>
      <c r="I2577" s="9"/>
      <c r="J2577" s="9"/>
      <c r="K2577" s="9"/>
      <c r="L2577" s="9"/>
      <c r="M2577" s="9"/>
    </row>
    <row r="2578" spans="1:13">
      <c r="A2578" s="9"/>
      <c r="B2578" s="9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</row>
    <row r="2579" spans="1:13">
      <c r="A2579" s="9"/>
      <c r="B2579" s="9"/>
      <c r="C2579" s="9"/>
      <c r="D2579" s="9"/>
      <c r="E2579" s="9"/>
      <c r="F2579" s="9"/>
      <c r="G2579" s="9"/>
      <c r="H2579" s="9"/>
      <c r="I2579" s="9"/>
      <c r="J2579" s="9"/>
      <c r="K2579" s="9"/>
      <c r="L2579" s="9"/>
      <c r="M2579" s="9"/>
    </row>
    <row r="2580" spans="1:13">
      <c r="A2580" s="9"/>
      <c r="B2580" s="9"/>
      <c r="C2580" s="9"/>
      <c r="D2580" s="9"/>
      <c r="E2580" s="9"/>
      <c r="F2580" s="9"/>
      <c r="G2580" s="9"/>
      <c r="H2580" s="9"/>
      <c r="I2580" s="9"/>
      <c r="J2580" s="9"/>
      <c r="K2580" s="9"/>
      <c r="L2580" s="9"/>
      <c r="M2580" s="9"/>
    </row>
    <row r="2581" spans="1:13">
      <c r="A2581" s="9"/>
      <c r="B2581" s="9"/>
      <c r="C2581" s="9"/>
      <c r="D2581" s="9"/>
      <c r="E2581" s="9"/>
      <c r="F2581" s="9"/>
      <c r="G2581" s="9"/>
      <c r="H2581" s="9"/>
      <c r="I2581" s="9"/>
      <c r="J2581" s="9"/>
      <c r="K2581" s="9"/>
      <c r="L2581" s="9"/>
      <c r="M2581" s="9"/>
    </row>
    <row r="2582" spans="1:13">
      <c r="A2582" s="9"/>
      <c r="B2582" s="9"/>
      <c r="C2582" s="9"/>
      <c r="D2582" s="9"/>
      <c r="E2582" s="9"/>
      <c r="F2582" s="9"/>
      <c r="G2582" s="9"/>
      <c r="H2582" s="9"/>
      <c r="I2582" s="9"/>
      <c r="J2582" s="9"/>
      <c r="K2582" s="9"/>
      <c r="L2582" s="9"/>
      <c r="M2582" s="9"/>
    </row>
    <row r="2583" spans="1:13">
      <c r="A2583" s="9"/>
      <c r="B2583" s="9"/>
      <c r="C2583" s="9"/>
      <c r="D2583" s="9"/>
      <c r="E2583" s="9"/>
      <c r="F2583" s="9"/>
      <c r="G2583" s="9"/>
      <c r="H2583" s="9"/>
      <c r="I2583" s="9"/>
      <c r="J2583" s="9"/>
      <c r="K2583" s="9"/>
      <c r="L2583" s="9"/>
      <c r="M2583" s="9"/>
    </row>
    <row r="2584" spans="1:13">
      <c r="A2584" s="9"/>
      <c r="B2584" s="9"/>
      <c r="C2584" s="9"/>
      <c r="D2584" s="9"/>
      <c r="E2584" s="9"/>
      <c r="F2584" s="9"/>
      <c r="G2584" s="9"/>
      <c r="H2584" s="9"/>
      <c r="I2584" s="9"/>
      <c r="J2584" s="9"/>
      <c r="K2584" s="9"/>
      <c r="L2584" s="9"/>
      <c r="M2584" s="9"/>
    </row>
    <row r="2585" spans="1:13">
      <c r="A2585" s="9"/>
      <c r="B2585" s="9"/>
      <c r="C2585" s="9"/>
      <c r="D2585" s="9"/>
      <c r="E2585" s="9"/>
      <c r="F2585" s="9"/>
      <c r="G2585" s="9"/>
      <c r="H2585" s="9"/>
      <c r="I2585" s="9"/>
      <c r="J2585" s="9"/>
      <c r="K2585" s="9"/>
      <c r="L2585" s="9"/>
      <c r="M2585" s="9"/>
    </row>
    <row r="2586" spans="1:13">
      <c r="A2586" s="9"/>
      <c r="B2586" s="9"/>
      <c r="C2586" s="9"/>
      <c r="D2586" s="9"/>
      <c r="E2586" s="9"/>
      <c r="F2586" s="9"/>
      <c r="G2586" s="9"/>
      <c r="H2586" s="9"/>
      <c r="I2586" s="9"/>
      <c r="J2586" s="9"/>
      <c r="K2586" s="9"/>
      <c r="L2586" s="9"/>
      <c r="M2586" s="9"/>
    </row>
    <row r="2587" spans="1:13">
      <c r="A2587" s="9"/>
      <c r="B2587" s="9"/>
      <c r="C2587" s="9"/>
      <c r="D2587" s="9"/>
      <c r="E2587" s="9"/>
      <c r="F2587" s="9"/>
      <c r="G2587" s="9"/>
      <c r="H2587" s="9"/>
      <c r="I2587" s="9"/>
      <c r="J2587" s="9"/>
      <c r="K2587" s="9"/>
      <c r="L2587" s="9"/>
      <c r="M2587" s="9"/>
    </row>
    <row r="2588" spans="1:13">
      <c r="A2588" s="9"/>
      <c r="B2588" s="9"/>
      <c r="C2588" s="9"/>
      <c r="D2588" s="9"/>
      <c r="E2588" s="9"/>
      <c r="F2588" s="9"/>
      <c r="G2588" s="9"/>
      <c r="H2588" s="9"/>
      <c r="I2588" s="9"/>
      <c r="J2588" s="9"/>
      <c r="K2588" s="9"/>
      <c r="L2588" s="9"/>
      <c r="M2588" s="9"/>
    </row>
    <row r="2589" spans="1:13">
      <c r="A2589" s="9"/>
      <c r="B2589" s="9"/>
      <c r="C2589" s="9"/>
      <c r="D2589" s="9"/>
      <c r="E2589" s="9"/>
      <c r="F2589" s="9"/>
      <c r="G2589" s="9"/>
      <c r="H2589" s="9"/>
      <c r="I2589" s="9"/>
      <c r="J2589" s="9"/>
      <c r="K2589" s="9"/>
      <c r="L2589" s="9"/>
      <c r="M2589" s="9"/>
    </row>
    <row r="2590" spans="1:13">
      <c r="A2590" s="9"/>
      <c r="B2590" s="9"/>
      <c r="C2590" s="9"/>
      <c r="D2590" s="9"/>
      <c r="E2590" s="9"/>
      <c r="F2590" s="9"/>
      <c r="G2590" s="9"/>
      <c r="H2590" s="9"/>
      <c r="I2590" s="9"/>
      <c r="J2590" s="9"/>
      <c r="K2590" s="9"/>
      <c r="L2590" s="9"/>
      <c r="M2590" s="9"/>
    </row>
    <row r="2591" spans="1:13">
      <c r="A2591" s="9"/>
      <c r="B2591" s="9"/>
      <c r="C2591" s="9"/>
      <c r="D2591" s="9"/>
      <c r="E2591" s="9"/>
      <c r="F2591" s="9"/>
      <c r="G2591" s="9"/>
      <c r="H2591" s="9"/>
      <c r="I2591" s="9"/>
      <c r="J2591" s="9"/>
      <c r="K2591" s="9"/>
      <c r="L2591" s="9"/>
      <c r="M2591" s="9"/>
    </row>
    <row r="2592" spans="1:13">
      <c r="A2592" s="9"/>
      <c r="B2592" s="9"/>
      <c r="C2592" s="9"/>
      <c r="D2592" s="9"/>
      <c r="E2592" s="9"/>
      <c r="F2592" s="9"/>
      <c r="G2592" s="9"/>
      <c r="H2592" s="9"/>
      <c r="I2592" s="9"/>
      <c r="J2592" s="9"/>
      <c r="K2592" s="9"/>
      <c r="L2592" s="9"/>
      <c r="M2592" s="9"/>
    </row>
    <row r="2593" spans="1:13">
      <c r="A2593" s="9"/>
      <c r="B2593" s="9"/>
      <c r="C2593" s="9"/>
      <c r="D2593" s="9"/>
      <c r="E2593" s="9"/>
      <c r="F2593" s="9"/>
      <c r="G2593" s="9"/>
      <c r="H2593" s="9"/>
      <c r="I2593" s="9"/>
      <c r="J2593" s="9"/>
      <c r="K2593" s="9"/>
      <c r="L2593" s="9"/>
      <c r="M2593" s="9"/>
    </row>
    <row r="2594" spans="1:13">
      <c r="A2594" s="9"/>
      <c r="B2594" s="9"/>
      <c r="C2594" s="9"/>
      <c r="D2594" s="9"/>
      <c r="E2594" s="9"/>
      <c r="F2594" s="9"/>
      <c r="G2594" s="9"/>
      <c r="H2594" s="9"/>
      <c r="I2594" s="9"/>
      <c r="J2594" s="9"/>
      <c r="K2594" s="9"/>
      <c r="L2594" s="9"/>
      <c r="M2594" s="9"/>
    </row>
    <row r="2595" spans="1:13">
      <c r="A2595" s="9"/>
      <c r="B2595" s="9"/>
      <c r="C2595" s="9"/>
      <c r="D2595" s="9"/>
      <c r="E2595" s="9"/>
      <c r="F2595" s="9"/>
      <c r="G2595" s="9"/>
      <c r="H2595" s="9"/>
      <c r="I2595" s="9"/>
      <c r="J2595" s="9"/>
      <c r="K2595" s="9"/>
      <c r="L2595" s="9"/>
      <c r="M2595" s="9"/>
    </row>
    <row r="2596" spans="1:13">
      <c r="A2596" s="9"/>
      <c r="B2596" s="9"/>
      <c r="C2596" s="9"/>
      <c r="D2596" s="9"/>
      <c r="E2596" s="9"/>
      <c r="F2596" s="9"/>
      <c r="G2596" s="9"/>
      <c r="H2596" s="9"/>
      <c r="I2596" s="9"/>
      <c r="J2596" s="9"/>
      <c r="K2596" s="9"/>
      <c r="L2596" s="9"/>
      <c r="M2596" s="9"/>
    </row>
    <row r="2597" spans="1:13">
      <c r="A2597" s="9"/>
      <c r="B2597" s="9"/>
      <c r="C2597" s="9"/>
      <c r="D2597" s="9"/>
      <c r="E2597" s="9"/>
      <c r="F2597" s="9"/>
      <c r="G2597" s="9"/>
      <c r="H2597" s="9"/>
      <c r="I2597" s="9"/>
      <c r="J2597" s="9"/>
      <c r="K2597" s="9"/>
      <c r="L2597" s="9"/>
      <c r="M2597" s="9"/>
    </row>
    <row r="2598" spans="1:13">
      <c r="A2598" s="9"/>
      <c r="B2598" s="9"/>
      <c r="C2598" s="9"/>
      <c r="D2598" s="9"/>
      <c r="E2598" s="9"/>
      <c r="F2598" s="9"/>
      <c r="G2598" s="9"/>
      <c r="H2598" s="9"/>
      <c r="I2598" s="9"/>
      <c r="J2598" s="9"/>
      <c r="K2598" s="9"/>
      <c r="L2598" s="9"/>
      <c r="M2598" s="9"/>
    </row>
    <row r="2599" spans="1:13">
      <c r="A2599" s="9"/>
      <c r="B2599" s="9"/>
      <c r="C2599" s="9"/>
      <c r="D2599" s="9"/>
      <c r="E2599" s="9"/>
      <c r="F2599" s="9"/>
      <c r="G2599" s="9"/>
      <c r="H2599" s="9"/>
      <c r="I2599" s="9"/>
      <c r="J2599" s="9"/>
      <c r="K2599" s="9"/>
      <c r="L2599" s="9"/>
      <c r="M2599" s="9"/>
    </row>
    <row r="2600" spans="1:13">
      <c r="A2600" s="9"/>
      <c r="B2600" s="9"/>
      <c r="C2600" s="9"/>
      <c r="D2600" s="9"/>
      <c r="E2600" s="9"/>
      <c r="F2600" s="9"/>
      <c r="G2600" s="9"/>
      <c r="H2600" s="9"/>
      <c r="I2600" s="9"/>
      <c r="J2600" s="9"/>
      <c r="K2600" s="9"/>
      <c r="L2600" s="9"/>
      <c r="M2600" s="9"/>
    </row>
    <row r="2601" spans="1:13">
      <c r="A2601" s="9"/>
      <c r="B2601" s="9"/>
      <c r="C2601" s="9"/>
      <c r="D2601" s="9"/>
      <c r="E2601" s="9"/>
      <c r="F2601" s="9"/>
      <c r="G2601" s="9"/>
      <c r="H2601" s="9"/>
      <c r="I2601" s="9"/>
      <c r="J2601" s="9"/>
      <c r="K2601" s="9"/>
      <c r="L2601" s="9"/>
      <c r="M2601" s="9"/>
    </row>
    <row r="2602" spans="1:13">
      <c r="A2602" s="9"/>
      <c r="B2602" s="9"/>
      <c r="C2602" s="9"/>
      <c r="D2602" s="9"/>
      <c r="E2602" s="9"/>
      <c r="F2602" s="9"/>
      <c r="G2602" s="9"/>
      <c r="H2602" s="9"/>
      <c r="I2602" s="9"/>
      <c r="J2602" s="9"/>
      <c r="K2602" s="9"/>
      <c r="L2602" s="9"/>
      <c r="M2602" s="9"/>
    </row>
    <row r="2603" spans="1:13">
      <c r="A2603" s="9"/>
      <c r="B2603" s="9"/>
      <c r="C2603" s="9"/>
      <c r="D2603" s="9"/>
      <c r="E2603" s="9"/>
      <c r="F2603" s="9"/>
      <c r="G2603" s="9"/>
      <c r="H2603" s="9"/>
      <c r="I2603" s="9"/>
      <c r="J2603" s="9"/>
      <c r="K2603" s="9"/>
      <c r="L2603" s="9"/>
      <c r="M2603" s="9"/>
    </row>
    <row r="2604" spans="1:13">
      <c r="A2604" s="9"/>
      <c r="B2604" s="9"/>
      <c r="C2604" s="9"/>
      <c r="D2604" s="9"/>
      <c r="E2604" s="9"/>
      <c r="F2604" s="9"/>
      <c r="G2604" s="9"/>
      <c r="H2604" s="9"/>
      <c r="I2604" s="9"/>
      <c r="J2604" s="9"/>
      <c r="K2604" s="9"/>
      <c r="L2604" s="9"/>
      <c r="M2604" s="9"/>
    </row>
    <row r="2605" spans="1:13">
      <c r="A2605" s="9"/>
      <c r="B2605" s="9"/>
      <c r="C2605" s="9"/>
      <c r="D2605" s="9"/>
      <c r="E2605" s="9"/>
      <c r="F2605" s="9"/>
      <c r="G2605" s="9"/>
      <c r="H2605" s="9"/>
      <c r="I2605" s="9"/>
      <c r="J2605" s="9"/>
      <c r="K2605" s="9"/>
      <c r="L2605" s="9"/>
      <c r="M2605" s="9"/>
    </row>
    <row r="2606" spans="1:13">
      <c r="A2606" s="9"/>
      <c r="B2606" s="9"/>
      <c r="C2606" s="9"/>
      <c r="D2606" s="9"/>
      <c r="E2606" s="9"/>
      <c r="F2606" s="9"/>
      <c r="G2606" s="9"/>
      <c r="H2606" s="9"/>
      <c r="I2606" s="9"/>
      <c r="J2606" s="9"/>
      <c r="K2606" s="9"/>
      <c r="L2606" s="9"/>
      <c r="M2606" s="9"/>
    </row>
    <row r="2607" spans="1:13">
      <c r="A2607" s="9"/>
      <c r="B2607" s="9"/>
      <c r="C2607" s="9"/>
      <c r="D2607" s="9"/>
      <c r="E2607" s="9"/>
      <c r="F2607" s="9"/>
      <c r="G2607" s="9"/>
      <c r="H2607" s="9"/>
      <c r="I2607" s="9"/>
      <c r="J2607" s="9"/>
      <c r="K2607" s="9"/>
      <c r="L2607" s="9"/>
      <c r="M2607" s="9"/>
    </row>
    <row r="2608" spans="1:13">
      <c r="A2608" s="9"/>
      <c r="B2608" s="9"/>
      <c r="C2608" s="9"/>
      <c r="D2608" s="9"/>
      <c r="E2608" s="9"/>
      <c r="F2608" s="9"/>
      <c r="G2608" s="9"/>
      <c r="H2608" s="9"/>
      <c r="I2608" s="9"/>
      <c r="J2608" s="9"/>
      <c r="K2608" s="9"/>
      <c r="L2608" s="9"/>
      <c r="M2608" s="9"/>
    </row>
    <row r="2609" spans="1:13">
      <c r="A2609" s="9"/>
      <c r="B2609" s="9"/>
      <c r="C2609" s="9"/>
      <c r="D2609" s="9"/>
      <c r="E2609" s="9"/>
      <c r="F2609" s="9"/>
      <c r="G2609" s="9"/>
      <c r="H2609" s="9"/>
      <c r="I2609" s="9"/>
      <c r="J2609" s="9"/>
      <c r="K2609" s="9"/>
      <c r="L2609" s="9"/>
      <c r="M2609" s="9"/>
    </row>
    <row r="2610" spans="1:13">
      <c r="A2610" s="9"/>
      <c r="B2610" s="9"/>
      <c r="C2610" s="9"/>
      <c r="D2610" s="9"/>
      <c r="E2610" s="9"/>
      <c r="F2610" s="9"/>
      <c r="G2610" s="9"/>
      <c r="H2610" s="9"/>
      <c r="I2610" s="9"/>
      <c r="J2610" s="9"/>
      <c r="K2610" s="9"/>
      <c r="L2610" s="9"/>
      <c r="M2610" s="9"/>
    </row>
    <row r="2611" spans="1:13">
      <c r="A2611" s="9"/>
      <c r="B2611" s="9"/>
      <c r="C2611" s="9"/>
      <c r="D2611" s="9"/>
      <c r="E2611" s="9"/>
      <c r="F2611" s="9"/>
      <c r="G2611" s="9"/>
      <c r="H2611" s="9"/>
      <c r="I2611" s="9"/>
      <c r="J2611" s="9"/>
      <c r="K2611" s="9"/>
      <c r="L2611" s="9"/>
      <c r="M2611" s="9"/>
    </row>
    <row r="2612" spans="1:13">
      <c r="A2612" s="9"/>
      <c r="B2612" s="9"/>
      <c r="C2612" s="9"/>
      <c r="D2612" s="9"/>
      <c r="E2612" s="9"/>
      <c r="F2612" s="9"/>
      <c r="G2612" s="9"/>
      <c r="H2612" s="9"/>
      <c r="I2612" s="9"/>
      <c r="J2612" s="9"/>
      <c r="K2612" s="9"/>
      <c r="L2612" s="9"/>
      <c r="M2612" s="9"/>
    </row>
    <row r="2613" spans="1:13">
      <c r="A2613" s="9"/>
      <c r="B2613" s="9"/>
      <c r="C2613" s="9"/>
      <c r="D2613" s="9"/>
      <c r="E2613" s="9"/>
      <c r="F2613" s="9"/>
      <c r="G2613" s="9"/>
      <c r="H2613" s="9"/>
      <c r="I2613" s="9"/>
      <c r="J2613" s="9"/>
      <c r="K2613" s="9"/>
      <c r="L2613" s="9"/>
      <c r="M2613" s="9"/>
    </row>
    <row r="2614" spans="1:13">
      <c r="A2614" s="9"/>
      <c r="B2614" s="9"/>
      <c r="C2614" s="9"/>
      <c r="D2614" s="9"/>
      <c r="E2614" s="9"/>
      <c r="F2614" s="9"/>
      <c r="G2614" s="9"/>
      <c r="H2614" s="9"/>
      <c r="I2614" s="9"/>
      <c r="J2614" s="9"/>
      <c r="K2614" s="9"/>
      <c r="L2614" s="9"/>
      <c r="M2614" s="9"/>
    </row>
    <row r="2615" spans="1:13">
      <c r="A2615" s="9"/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s="9"/>
    </row>
    <row r="2616" spans="1:13">
      <c r="A2616" s="9"/>
      <c r="B2616" s="9"/>
      <c r="C2616" s="9"/>
      <c r="D2616" s="9"/>
      <c r="E2616" s="9"/>
      <c r="F2616" s="9"/>
      <c r="G2616" s="9"/>
      <c r="H2616" s="9"/>
      <c r="I2616" s="9"/>
      <c r="J2616" s="9"/>
      <c r="K2616" s="9"/>
      <c r="L2616" s="9"/>
      <c r="M2616" s="9"/>
    </row>
    <row r="2617" spans="1:13">
      <c r="A2617" s="9"/>
      <c r="B2617" s="9"/>
      <c r="C2617" s="9"/>
      <c r="D2617" s="9"/>
      <c r="E2617" s="9"/>
      <c r="F2617" s="9"/>
      <c r="G2617" s="9"/>
      <c r="H2617" s="9"/>
      <c r="I2617" s="9"/>
      <c r="J2617" s="9"/>
      <c r="K2617" s="9"/>
      <c r="L2617" s="9"/>
      <c r="M2617" s="9"/>
    </row>
    <row r="2618" spans="1:13">
      <c r="A2618" s="9"/>
      <c r="B2618" s="9"/>
      <c r="C2618" s="9"/>
      <c r="D2618" s="9"/>
      <c r="E2618" s="9"/>
      <c r="F2618" s="9"/>
      <c r="G2618" s="9"/>
      <c r="H2618" s="9"/>
      <c r="I2618" s="9"/>
      <c r="J2618" s="9"/>
      <c r="K2618" s="9"/>
      <c r="L2618" s="9"/>
      <c r="M2618" s="9"/>
    </row>
    <row r="2619" spans="1:13">
      <c r="A2619" s="9"/>
      <c r="B2619" s="9"/>
      <c r="C2619" s="9"/>
      <c r="D2619" s="9"/>
      <c r="E2619" s="9"/>
      <c r="F2619" s="9"/>
      <c r="G2619" s="9"/>
      <c r="H2619" s="9"/>
      <c r="I2619" s="9"/>
      <c r="J2619" s="9"/>
      <c r="K2619" s="9"/>
      <c r="L2619" s="9"/>
      <c r="M2619" s="9"/>
    </row>
    <row r="2620" spans="1:13">
      <c r="A2620" s="9"/>
      <c r="B2620" s="9"/>
      <c r="C2620" s="9"/>
      <c r="D2620" s="9"/>
      <c r="E2620" s="9"/>
      <c r="F2620" s="9"/>
      <c r="G2620" s="9"/>
      <c r="H2620" s="9"/>
      <c r="I2620" s="9"/>
      <c r="J2620" s="9"/>
      <c r="K2620" s="9"/>
      <c r="L2620" s="9"/>
      <c r="M2620" s="9"/>
    </row>
    <row r="2621" spans="1:13">
      <c r="A2621" s="9"/>
      <c r="B2621" s="9"/>
      <c r="C2621" s="9"/>
      <c r="D2621" s="9"/>
      <c r="E2621" s="9"/>
      <c r="F2621" s="9"/>
      <c r="G2621" s="9"/>
      <c r="H2621" s="9"/>
      <c r="I2621" s="9"/>
      <c r="J2621" s="9"/>
      <c r="K2621" s="9"/>
      <c r="L2621" s="9"/>
      <c r="M2621" s="9"/>
    </row>
    <row r="2622" spans="1:13">
      <c r="A2622" s="9"/>
      <c r="B2622" s="9"/>
      <c r="C2622" s="9"/>
      <c r="D2622" s="9"/>
      <c r="E2622" s="9"/>
      <c r="F2622" s="9"/>
      <c r="G2622" s="9"/>
      <c r="H2622" s="9"/>
      <c r="I2622" s="9"/>
      <c r="J2622" s="9"/>
      <c r="K2622" s="9"/>
      <c r="L2622" s="9"/>
      <c r="M2622" s="9"/>
    </row>
    <row r="2623" spans="1:13">
      <c r="A2623" s="9"/>
      <c r="B2623" s="9"/>
      <c r="C2623" s="9"/>
      <c r="D2623" s="9"/>
      <c r="E2623" s="9"/>
      <c r="F2623" s="9"/>
      <c r="G2623" s="9"/>
      <c r="H2623" s="9"/>
      <c r="I2623" s="9"/>
      <c r="J2623" s="9"/>
      <c r="K2623" s="9"/>
      <c r="L2623" s="9"/>
      <c r="M2623" s="9"/>
    </row>
    <row r="2624" spans="1:13">
      <c r="A2624" s="9"/>
      <c r="B2624" s="9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</row>
    <row r="2625" spans="1:13">
      <c r="A2625" s="9"/>
      <c r="B2625" s="9"/>
      <c r="C2625" s="9"/>
      <c r="D2625" s="9"/>
      <c r="E2625" s="9"/>
      <c r="F2625" s="9"/>
      <c r="G2625" s="9"/>
      <c r="H2625" s="9"/>
      <c r="I2625" s="9"/>
      <c r="J2625" s="9"/>
      <c r="K2625" s="9"/>
      <c r="L2625" s="9"/>
      <c r="M2625" s="9"/>
    </row>
    <row r="2626" spans="1:13">
      <c r="A2626" s="9"/>
      <c r="B2626" s="9"/>
      <c r="C2626" s="9"/>
      <c r="D2626" s="9"/>
      <c r="E2626" s="9"/>
      <c r="F2626" s="9"/>
      <c r="G2626" s="9"/>
      <c r="H2626" s="9"/>
      <c r="I2626" s="9"/>
      <c r="J2626" s="9"/>
      <c r="K2626" s="9"/>
      <c r="L2626" s="9"/>
      <c r="M2626" s="9"/>
    </row>
    <row r="2627" spans="1:13">
      <c r="A2627" s="9"/>
      <c r="B2627" s="9"/>
      <c r="C2627" s="9"/>
      <c r="D2627" s="9"/>
      <c r="E2627" s="9"/>
      <c r="F2627" s="9"/>
      <c r="G2627" s="9"/>
      <c r="H2627" s="9"/>
      <c r="I2627" s="9"/>
      <c r="J2627" s="9"/>
      <c r="K2627" s="9"/>
      <c r="L2627" s="9"/>
      <c r="M2627" s="9"/>
    </row>
    <row r="2628" spans="1:13">
      <c r="A2628" s="9"/>
      <c r="B2628" s="9"/>
      <c r="C2628" s="9"/>
      <c r="D2628" s="9"/>
      <c r="E2628" s="9"/>
      <c r="F2628" s="9"/>
      <c r="G2628" s="9"/>
      <c r="H2628" s="9"/>
      <c r="I2628" s="9"/>
      <c r="J2628" s="9"/>
      <c r="K2628" s="9"/>
      <c r="L2628" s="9"/>
      <c r="M2628" s="9"/>
    </row>
    <row r="2629" spans="1:13">
      <c r="A2629" s="9"/>
      <c r="B2629" s="9"/>
      <c r="C2629" s="9"/>
      <c r="D2629" s="9"/>
      <c r="E2629" s="9"/>
      <c r="F2629" s="9"/>
      <c r="G2629" s="9"/>
      <c r="H2629" s="9"/>
      <c r="I2629" s="9"/>
      <c r="J2629" s="9"/>
      <c r="K2629" s="9"/>
      <c r="L2629" s="9"/>
      <c r="M2629" s="9"/>
    </row>
    <row r="2630" spans="1:13">
      <c r="A2630" s="9"/>
      <c r="B2630" s="9"/>
      <c r="C2630" s="9"/>
      <c r="D2630" s="9"/>
      <c r="E2630" s="9"/>
      <c r="F2630" s="9"/>
      <c r="G2630" s="9"/>
      <c r="H2630" s="9"/>
      <c r="I2630" s="9"/>
      <c r="J2630" s="9"/>
      <c r="K2630" s="9"/>
      <c r="L2630" s="9"/>
      <c r="M2630" s="9"/>
    </row>
    <row r="2631" spans="1:13">
      <c r="A2631" s="9"/>
      <c r="B2631" s="9"/>
      <c r="C2631" s="9"/>
      <c r="D2631" s="9"/>
      <c r="E2631" s="9"/>
      <c r="F2631" s="9"/>
      <c r="G2631" s="9"/>
      <c r="H2631" s="9"/>
      <c r="I2631" s="9"/>
      <c r="J2631" s="9"/>
      <c r="K2631" s="9"/>
      <c r="L2631" s="9"/>
      <c r="M2631" s="9"/>
    </row>
    <row r="2632" spans="1:13">
      <c r="A2632" s="9"/>
      <c r="B2632" s="9"/>
      <c r="C2632" s="9"/>
      <c r="D2632" s="9"/>
      <c r="E2632" s="9"/>
      <c r="F2632" s="9"/>
      <c r="G2632" s="9"/>
      <c r="H2632" s="9"/>
      <c r="I2632" s="9"/>
      <c r="J2632" s="9"/>
      <c r="K2632" s="9"/>
      <c r="L2632" s="9"/>
      <c r="M2632" s="9"/>
    </row>
    <row r="2633" spans="1:13">
      <c r="A2633" s="9"/>
      <c r="B2633" s="9"/>
      <c r="C2633" s="9"/>
      <c r="D2633" s="9"/>
      <c r="E2633" s="9"/>
      <c r="F2633" s="9"/>
      <c r="G2633" s="9"/>
      <c r="H2633" s="9"/>
      <c r="I2633" s="9"/>
      <c r="J2633" s="9"/>
      <c r="K2633" s="9"/>
      <c r="L2633" s="9"/>
      <c r="M2633" s="9"/>
    </row>
    <row r="2634" spans="1:13">
      <c r="A2634" s="9"/>
      <c r="B2634" s="9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</row>
    <row r="2635" spans="1:13">
      <c r="A2635" s="9"/>
      <c r="B2635" s="9"/>
      <c r="C2635" s="9"/>
      <c r="D2635" s="9"/>
      <c r="E2635" s="9"/>
      <c r="F2635" s="9"/>
      <c r="G2635" s="9"/>
      <c r="H2635" s="9"/>
      <c r="I2635" s="9"/>
      <c r="J2635" s="9"/>
      <c r="K2635" s="9"/>
      <c r="L2635" s="9"/>
      <c r="M2635" s="9"/>
    </row>
    <row r="2636" spans="1:13">
      <c r="A2636" s="9"/>
      <c r="B2636" s="9"/>
      <c r="C2636" s="9"/>
      <c r="D2636" s="9"/>
      <c r="E2636" s="9"/>
      <c r="F2636" s="9"/>
      <c r="G2636" s="9"/>
      <c r="H2636" s="9"/>
      <c r="I2636" s="9"/>
      <c r="J2636" s="9"/>
      <c r="K2636" s="9"/>
      <c r="L2636" s="9"/>
      <c r="M2636" s="9"/>
    </row>
    <row r="2637" spans="1:13">
      <c r="A2637" s="9"/>
      <c r="B2637" s="9"/>
      <c r="C2637" s="9"/>
      <c r="D2637" s="9"/>
      <c r="E2637" s="9"/>
      <c r="F2637" s="9"/>
      <c r="G2637" s="9"/>
      <c r="H2637" s="9"/>
      <c r="I2637" s="9"/>
      <c r="J2637" s="9"/>
      <c r="K2637" s="9"/>
      <c r="L2637" s="9"/>
      <c r="M2637" s="9"/>
    </row>
    <row r="2638" spans="1:13">
      <c r="A2638" s="9"/>
      <c r="B2638" s="9"/>
      <c r="C2638" s="9"/>
      <c r="D2638" s="9"/>
      <c r="E2638" s="9"/>
      <c r="F2638" s="9"/>
      <c r="G2638" s="9"/>
      <c r="H2638" s="9"/>
      <c r="I2638" s="9"/>
      <c r="J2638" s="9"/>
      <c r="K2638" s="9"/>
      <c r="L2638" s="9"/>
      <c r="M2638" s="9"/>
    </row>
    <row r="2639" spans="1:13">
      <c r="A2639" s="9"/>
      <c r="B2639" s="9"/>
      <c r="C2639" s="9"/>
      <c r="D2639" s="9"/>
      <c r="E2639" s="9"/>
      <c r="F2639" s="9"/>
      <c r="G2639" s="9"/>
      <c r="H2639" s="9"/>
      <c r="I2639" s="9"/>
      <c r="J2639" s="9"/>
      <c r="K2639" s="9"/>
      <c r="L2639" s="9"/>
      <c r="M2639" s="9"/>
    </row>
    <row r="2640" spans="1:13">
      <c r="A2640" s="9"/>
      <c r="B2640" s="9"/>
      <c r="C2640" s="9"/>
      <c r="D2640" s="9"/>
      <c r="E2640" s="9"/>
      <c r="F2640" s="9"/>
      <c r="G2640" s="9"/>
      <c r="H2640" s="9"/>
      <c r="I2640" s="9"/>
      <c r="J2640" s="9"/>
      <c r="K2640" s="9"/>
      <c r="L2640" s="9"/>
      <c r="M2640" s="9"/>
    </row>
    <row r="2641" spans="1:13">
      <c r="A2641" s="9"/>
      <c r="B2641" s="9"/>
      <c r="C2641" s="9"/>
      <c r="D2641" s="9"/>
      <c r="E2641" s="9"/>
      <c r="F2641" s="9"/>
      <c r="G2641" s="9"/>
      <c r="H2641" s="9"/>
      <c r="I2641" s="9"/>
      <c r="J2641" s="9"/>
      <c r="K2641" s="9"/>
      <c r="L2641" s="9"/>
      <c r="M2641" s="9"/>
    </row>
    <row r="2642" spans="1:13">
      <c r="A2642" s="9"/>
      <c r="B2642" s="9"/>
      <c r="C2642" s="9"/>
      <c r="D2642" s="9"/>
      <c r="E2642" s="9"/>
      <c r="F2642" s="9"/>
      <c r="G2642" s="9"/>
      <c r="H2642" s="9"/>
      <c r="I2642" s="9"/>
      <c r="J2642" s="9"/>
      <c r="K2642" s="9"/>
      <c r="L2642" s="9"/>
      <c r="M2642" s="9"/>
    </row>
    <row r="2643" spans="1:13">
      <c r="A2643" s="9"/>
      <c r="B2643" s="9"/>
      <c r="C2643" s="9"/>
      <c r="D2643" s="9"/>
      <c r="E2643" s="9"/>
      <c r="F2643" s="9"/>
      <c r="G2643" s="9"/>
      <c r="H2643" s="9"/>
      <c r="I2643" s="9"/>
      <c r="J2643" s="9"/>
      <c r="K2643" s="9"/>
      <c r="L2643" s="9"/>
      <c r="M2643" s="9"/>
    </row>
    <row r="2644" spans="1:13">
      <c r="A2644" s="9"/>
      <c r="B2644" s="9"/>
      <c r="C2644" s="9"/>
      <c r="D2644" s="9"/>
      <c r="E2644" s="9"/>
      <c r="F2644" s="9"/>
      <c r="G2644" s="9"/>
      <c r="H2644" s="9"/>
      <c r="I2644" s="9"/>
      <c r="J2644" s="9"/>
      <c r="K2644" s="9"/>
      <c r="L2644" s="9"/>
      <c r="M2644" s="9"/>
    </row>
    <row r="2645" spans="1:13">
      <c r="A2645" s="9"/>
      <c r="B2645" s="9"/>
      <c r="C2645" s="9"/>
      <c r="D2645" s="9"/>
      <c r="E2645" s="9"/>
      <c r="F2645" s="9"/>
      <c r="G2645" s="9"/>
      <c r="H2645" s="9"/>
      <c r="I2645" s="9"/>
      <c r="J2645" s="9"/>
      <c r="K2645" s="9"/>
      <c r="L2645" s="9"/>
      <c r="M2645" s="9"/>
    </row>
    <row r="2646" spans="1:13">
      <c r="A2646" s="9"/>
      <c r="B2646" s="9"/>
      <c r="C2646" s="9"/>
      <c r="D2646" s="9"/>
      <c r="E2646" s="9"/>
      <c r="F2646" s="9"/>
      <c r="G2646" s="9"/>
      <c r="H2646" s="9"/>
      <c r="I2646" s="9"/>
      <c r="J2646" s="9"/>
      <c r="K2646" s="9"/>
      <c r="L2646" s="9"/>
      <c r="M2646" s="9"/>
    </row>
    <row r="2647" spans="1:13">
      <c r="A2647" s="9"/>
      <c r="B2647" s="9"/>
      <c r="C2647" s="9"/>
      <c r="D2647" s="9"/>
      <c r="E2647" s="9"/>
      <c r="F2647" s="9"/>
      <c r="G2647" s="9"/>
      <c r="H2647" s="9"/>
      <c r="I2647" s="9"/>
      <c r="J2647" s="9"/>
      <c r="K2647" s="9"/>
      <c r="L2647" s="9"/>
      <c r="M2647" s="9"/>
    </row>
    <row r="2648" spans="1:13">
      <c r="A2648" s="9"/>
      <c r="B2648" s="9"/>
      <c r="C2648" s="9"/>
      <c r="D2648" s="9"/>
      <c r="E2648" s="9"/>
      <c r="F2648" s="9"/>
      <c r="G2648" s="9"/>
      <c r="H2648" s="9"/>
      <c r="I2648" s="9"/>
      <c r="J2648" s="9"/>
      <c r="K2648" s="9"/>
      <c r="L2648" s="9"/>
      <c r="M2648" s="9"/>
    </row>
    <row r="2649" spans="1:13">
      <c r="A2649" s="9"/>
      <c r="B2649" s="9"/>
      <c r="C2649" s="9"/>
      <c r="D2649" s="9"/>
      <c r="E2649" s="9"/>
      <c r="F2649" s="9"/>
      <c r="G2649" s="9"/>
      <c r="H2649" s="9"/>
      <c r="I2649" s="9"/>
      <c r="J2649" s="9"/>
      <c r="K2649" s="9"/>
      <c r="L2649" s="9"/>
      <c r="M2649" s="9"/>
    </row>
    <row r="2650" spans="1:13">
      <c r="A2650" s="9"/>
      <c r="B2650" s="9"/>
      <c r="C2650" s="9"/>
      <c r="D2650" s="9"/>
      <c r="E2650" s="9"/>
      <c r="F2650" s="9"/>
      <c r="G2650" s="9"/>
      <c r="H2650" s="9"/>
      <c r="I2650" s="9"/>
      <c r="J2650" s="9"/>
      <c r="K2650" s="9"/>
      <c r="L2650" s="9"/>
      <c r="M2650" s="9"/>
    </row>
    <row r="2651" spans="1:13">
      <c r="A2651" s="9"/>
      <c r="B2651" s="9"/>
      <c r="C2651" s="9"/>
      <c r="D2651" s="9"/>
      <c r="E2651" s="9"/>
      <c r="F2651" s="9"/>
      <c r="G2651" s="9"/>
      <c r="H2651" s="9"/>
      <c r="I2651" s="9"/>
      <c r="J2651" s="9"/>
      <c r="K2651" s="9"/>
      <c r="L2651" s="9"/>
      <c r="M2651" s="9"/>
    </row>
    <row r="2652" spans="1:13">
      <c r="A2652" s="9"/>
      <c r="B2652" s="9"/>
      <c r="C2652" s="9"/>
      <c r="D2652" s="9"/>
      <c r="E2652" s="9"/>
      <c r="F2652" s="9"/>
      <c r="G2652" s="9"/>
      <c r="H2652" s="9"/>
      <c r="I2652" s="9"/>
      <c r="J2652" s="9"/>
      <c r="K2652" s="9"/>
      <c r="L2652" s="9"/>
      <c r="M2652" s="9"/>
    </row>
    <row r="2653" spans="1:13">
      <c r="A2653" s="9"/>
      <c r="B2653" s="9"/>
      <c r="C2653" s="9"/>
      <c r="D2653" s="9"/>
      <c r="E2653" s="9"/>
      <c r="F2653" s="9"/>
      <c r="G2653" s="9"/>
      <c r="H2653" s="9"/>
      <c r="I2653" s="9"/>
      <c r="J2653" s="9"/>
      <c r="K2653" s="9"/>
      <c r="L2653" s="9"/>
      <c r="M2653" s="9"/>
    </row>
    <row r="2654" spans="1:13">
      <c r="A2654" s="9"/>
      <c r="B2654" s="9"/>
      <c r="C2654" s="9"/>
      <c r="D2654" s="9"/>
      <c r="E2654" s="9"/>
      <c r="F2654" s="9"/>
      <c r="G2654" s="9"/>
      <c r="H2654" s="9"/>
      <c r="I2654" s="9"/>
      <c r="J2654" s="9"/>
      <c r="K2654" s="9"/>
      <c r="L2654" s="9"/>
      <c r="M2654" s="9"/>
    </row>
    <row r="2655" spans="1:13">
      <c r="A2655" s="9"/>
      <c r="B2655" s="9"/>
      <c r="C2655" s="9"/>
      <c r="D2655" s="9"/>
      <c r="E2655" s="9"/>
      <c r="F2655" s="9"/>
      <c r="G2655" s="9"/>
      <c r="H2655" s="9"/>
      <c r="I2655" s="9"/>
      <c r="J2655" s="9"/>
      <c r="K2655" s="9"/>
      <c r="L2655" s="9"/>
      <c r="M2655" s="9"/>
    </row>
    <row r="2656" spans="1:13">
      <c r="A2656" s="9"/>
      <c r="B2656" s="9"/>
      <c r="C2656" s="9"/>
      <c r="D2656" s="9"/>
      <c r="E2656" s="9"/>
      <c r="F2656" s="9"/>
      <c r="G2656" s="9"/>
      <c r="H2656" s="9"/>
      <c r="I2656" s="9"/>
      <c r="J2656" s="9"/>
      <c r="K2656" s="9"/>
      <c r="L2656" s="9"/>
      <c r="M2656" s="9"/>
    </row>
    <row r="2657" spans="1:13">
      <c r="A2657" s="9"/>
      <c r="B2657" s="9"/>
      <c r="C2657" s="9"/>
      <c r="D2657" s="9"/>
      <c r="E2657" s="9"/>
      <c r="F2657" s="9"/>
      <c r="G2657" s="9"/>
      <c r="H2657" s="9"/>
      <c r="I2657" s="9"/>
      <c r="J2657" s="9"/>
      <c r="K2657" s="9"/>
      <c r="L2657" s="9"/>
      <c r="M2657" s="9"/>
    </row>
    <row r="2658" spans="1:13">
      <c r="A2658" s="9"/>
      <c r="B2658" s="9"/>
      <c r="C2658" s="9"/>
      <c r="D2658" s="9"/>
      <c r="E2658" s="9"/>
      <c r="F2658" s="9"/>
      <c r="G2658" s="9"/>
      <c r="H2658" s="9"/>
      <c r="I2658" s="9"/>
      <c r="J2658" s="9"/>
      <c r="K2658" s="9"/>
      <c r="L2658" s="9"/>
      <c r="M2658" s="9"/>
    </row>
    <row r="2659" spans="1:13">
      <c r="A2659" s="9"/>
      <c r="B2659" s="9"/>
      <c r="C2659" s="9"/>
      <c r="D2659" s="9"/>
      <c r="E2659" s="9"/>
      <c r="F2659" s="9"/>
      <c r="G2659" s="9"/>
      <c r="H2659" s="9"/>
      <c r="I2659" s="9"/>
      <c r="J2659" s="9"/>
      <c r="K2659" s="9"/>
      <c r="L2659" s="9"/>
      <c r="M2659" s="9"/>
    </row>
    <row r="2660" spans="1:13">
      <c r="A2660" s="9"/>
      <c r="B2660" s="9"/>
      <c r="C2660" s="9"/>
      <c r="D2660" s="9"/>
      <c r="E2660" s="9"/>
      <c r="F2660" s="9"/>
      <c r="G2660" s="9"/>
      <c r="H2660" s="9"/>
      <c r="I2660" s="9"/>
      <c r="J2660" s="9"/>
      <c r="K2660" s="9"/>
      <c r="L2660" s="9"/>
      <c r="M2660" s="9"/>
    </row>
    <row r="2661" spans="1:13">
      <c r="A2661" s="9"/>
      <c r="B2661" s="9"/>
      <c r="C2661" s="9"/>
      <c r="D2661" s="9"/>
      <c r="E2661" s="9"/>
      <c r="F2661" s="9"/>
      <c r="G2661" s="9"/>
      <c r="H2661" s="9"/>
      <c r="I2661" s="9"/>
      <c r="J2661" s="9"/>
      <c r="K2661" s="9"/>
      <c r="L2661" s="9"/>
      <c r="M2661" s="9"/>
    </row>
    <row r="2662" spans="1:13">
      <c r="A2662" s="9"/>
      <c r="B2662" s="9"/>
      <c r="C2662" s="9"/>
      <c r="D2662" s="9"/>
      <c r="E2662" s="9"/>
      <c r="F2662" s="9"/>
      <c r="G2662" s="9"/>
      <c r="H2662" s="9"/>
      <c r="I2662" s="9"/>
      <c r="J2662" s="9"/>
      <c r="K2662" s="9"/>
      <c r="L2662" s="9"/>
      <c r="M2662" s="9"/>
    </row>
    <row r="2663" spans="1:13">
      <c r="A2663" s="9"/>
      <c r="B2663" s="9"/>
      <c r="C2663" s="9"/>
      <c r="D2663" s="9"/>
      <c r="E2663" s="9"/>
      <c r="F2663" s="9"/>
      <c r="G2663" s="9"/>
      <c r="H2663" s="9"/>
      <c r="I2663" s="9"/>
      <c r="J2663" s="9"/>
      <c r="K2663" s="9"/>
      <c r="L2663" s="9"/>
      <c r="M2663" s="9"/>
    </row>
    <row r="2664" spans="1:13">
      <c r="A2664" s="9"/>
      <c r="B2664" s="9"/>
      <c r="C2664" s="9"/>
      <c r="D2664" s="9"/>
      <c r="E2664" s="9"/>
      <c r="F2664" s="9"/>
      <c r="G2664" s="9"/>
      <c r="H2664" s="9"/>
      <c r="I2664" s="9"/>
      <c r="J2664" s="9"/>
      <c r="K2664" s="9"/>
      <c r="L2664" s="9"/>
      <c r="M2664" s="9"/>
    </row>
    <row r="2665" spans="1:13">
      <c r="A2665" s="9"/>
      <c r="B2665" s="9"/>
      <c r="C2665" s="9"/>
      <c r="D2665" s="9"/>
      <c r="E2665" s="9"/>
      <c r="F2665" s="9"/>
      <c r="G2665" s="9"/>
      <c r="H2665" s="9"/>
      <c r="I2665" s="9"/>
      <c r="J2665" s="9"/>
      <c r="K2665" s="9"/>
      <c r="L2665" s="9"/>
      <c r="M2665" s="9"/>
    </row>
    <row r="2666" spans="1:13">
      <c r="A2666" s="9"/>
      <c r="B2666" s="9"/>
      <c r="C2666" s="9"/>
      <c r="D2666" s="9"/>
      <c r="E2666" s="9"/>
      <c r="F2666" s="9"/>
      <c r="G2666" s="9"/>
      <c r="H2666" s="9"/>
      <c r="I2666" s="9"/>
      <c r="J2666" s="9"/>
      <c r="K2666" s="9"/>
      <c r="L2666" s="9"/>
      <c r="M2666" s="9"/>
    </row>
    <row r="2667" spans="1:13">
      <c r="A2667" s="9"/>
      <c r="B2667" s="9"/>
      <c r="C2667" s="9"/>
      <c r="D2667" s="9"/>
      <c r="E2667" s="9"/>
      <c r="F2667" s="9"/>
      <c r="G2667" s="9"/>
      <c r="H2667" s="9"/>
      <c r="I2667" s="9"/>
      <c r="J2667" s="9"/>
      <c r="K2667" s="9"/>
      <c r="L2667" s="9"/>
      <c r="M2667" s="9"/>
    </row>
    <row r="2668" spans="1:13">
      <c r="A2668" s="9"/>
      <c r="B2668" s="9"/>
      <c r="C2668" s="9"/>
      <c r="D2668" s="9"/>
      <c r="E2668" s="9"/>
      <c r="F2668" s="9"/>
      <c r="G2668" s="9"/>
      <c r="H2668" s="9"/>
      <c r="I2668" s="9"/>
      <c r="J2668" s="9"/>
      <c r="K2668" s="9"/>
      <c r="L2668" s="9"/>
      <c r="M2668" s="9"/>
    </row>
    <row r="2669" spans="1:13">
      <c r="A2669" s="9"/>
      <c r="B2669" s="9"/>
      <c r="C2669" s="9"/>
      <c r="D2669" s="9"/>
      <c r="E2669" s="9"/>
      <c r="F2669" s="9"/>
      <c r="G2669" s="9"/>
      <c r="H2669" s="9"/>
      <c r="I2669" s="9"/>
      <c r="J2669" s="9"/>
      <c r="K2669" s="9"/>
      <c r="L2669" s="9"/>
      <c r="M2669" s="9"/>
    </row>
    <row r="2670" spans="1:13">
      <c r="A2670" s="9"/>
      <c r="B2670" s="9"/>
      <c r="C2670" s="9"/>
      <c r="D2670" s="9"/>
      <c r="E2670" s="9"/>
      <c r="F2670" s="9"/>
      <c r="G2670" s="9"/>
      <c r="H2670" s="9"/>
      <c r="I2670" s="9"/>
      <c r="J2670" s="9"/>
      <c r="K2670" s="9"/>
      <c r="L2670" s="9"/>
      <c r="M2670" s="9"/>
    </row>
    <row r="2671" spans="1:13">
      <c r="A2671" s="9"/>
      <c r="B2671" s="9"/>
      <c r="C2671" s="9"/>
      <c r="D2671" s="9"/>
      <c r="E2671" s="9"/>
      <c r="F2671" s="9"/>
      <c r="G2671" s="9"/>
      <c r="H2671" s="9"/>
      <c r="I2671" s="9"/>
      <c r="J2671" s="9"/>
      <c r="K2671" s="9"/>
      <c r="L2671" s="9"/>
      <c r="M2671" s="9"/>
    </row>
    <row r="2672" spans="1:13">
      <c r="A2672" s="9"/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</row>
    <row r="2673" spans="1:13">
      <c r="A2673" s="9"/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</row>
    <row r="2674" spans="1:13">
      <c r="A2674" s="9"/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</row>
    <row r="2675" spans="1:13">
      <c r="A2675" s="9"/>
      <c r="B2675" s="9"/>
      <c r="C2675" s="9"/>
      <c r="D2675" s="9"/>
      <c r="E2675" s="9"/>
      <c r="F2675" s="9"/>
      <c r="G2675" s="9"/>
      <c r="H2675" s="9"/>
      <c r="I2675" s="9"/>
      <c r="J2675" s="9"/>
      <c r="K2675" s="9"/>
      <c r="L2675" s="9"/>
      <c r="M2675" s="9"/>
    </row>
    <row r="2676" spans="1:13">
      <c r="A2676" s="9"/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</row>
    <row r="2677" spans="1:13">
      <c r="A2677" s="9"/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</row>
    <row r="2678" spans="1:13">
      <c r="A2678" s="9"/>
      <c r="B2678" s="9"/>
      <c r="C2678" s="9"/>
      <c r="D2678" s="9"/>
      <c r="E2678" s="9"/>
      <c r="F2678" s="9"/>
      <c r="G2678" s="9"/>
      <c r="H2678" s="9"/>
      <c r="I2678" s="9"/>
      <c r="J2678" s="9"/>
      <c r="K2678" s="9"/>
      <c r="L2678" s="9"/>
      <c r="M2678" s="9"/>
    </row>
    <row r="2679" spans="1:13">
      <c r="A2679" s="9"/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</row>
    <row r="2680" spans="1:13">
      <c r="A2680" s="9"/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</row>
    <row r="2681" spans="1:13">
      <c r="A2681" s="9"/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</row>
    <row r="2682" spans="1:13">
      <c r="A2682" s="9"/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</row>
    <row r="2683" spans="1:13">
      <c r="A2683" s="9"/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</row>
    <row r="2684" spans="1:13">
      <c r="A2684" s="9"/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</row>
    <row r="2685" spans="1:13">
      <c r="A2685" s="9"/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</row>
    <row r="2686" spans="1:13">
      <c r="A2686" s="9"/>
      <c r="B2686" s="9"/>
      <c r="C2686" s="9"/>
      <c r="D2686" s="9"/>
      <c r="E2686" s="9"/>
      <c r="F2686" s="9"/>
      <c r="G2686" s="9"/>
      <c r="H2686" s="9"/>
      <c r="I2686" s="9"/>
      <c r="J2686" s="9"/>
      <c r="K2686" s="9"/>
      <c r="L2686" s="9"/>
      <c r="M2686" s="9"/>
    </row>
    <row r="2687" spans="1:13">
      <c r="A2687" s="9"/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</row>
    <row r="2688" spans="1:13">
      <c r="A2688" s="9"/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</row>
    <row r="2689" spans="1:13">
      <c r="A2689" s="9"/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</row>
    <row r="2690" spans="1:13">
      <c r="A2690" s="9"/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</row>
    <row r="2691" spans="1:13">
      <c r="A2691" s="9"/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</row>
    <row r="2692" spans="1:13">
      <c r="A2692" s="9"/>
      <c r="B2692" s="9"/>
      <c r="C2692" s="9"/>
      <c r="D2692" s="9"/>
      <c r="E2692" s="9"/>
      <c r="F2692" s="9"/>
      <c r="G2692" s="9"/>
      <c r="H2692" s="9"/>
      <c r="I2692" s="9"/>
      <c r="J2692" s="9"/>
      <c r="K2692" s="9"/>
      <c r="L2692" s="9"/>
      <c r="M2692" s="9"/>
    </row>
    <row r="2693" spans="1:13">
      <c r="A2693" s="9"/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</row>
    <row r="2694" spans="1:13">
      <c r="A2694" s="9"/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</row>
    <row r="2695" spans="1:13">
      <c r="A2695" s="9"/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</row>
    <row r="2696" spans="1:13">
      <c r="A2696" s="9"/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</row>
    <row r="2697" spans="1:13">
      <c r="A2697" s="9"/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</row>
    <row r="2698" spans="1:13">
      <c r="A2698" s="9"/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</row>
    <row r="2699" spans="1:13">
      <c r="A2699" s="9"/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</row>
    <row r="2700" spans="1:13">
      <c r="A2700" s="9"/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</row>
    <row r="2701" spans="1:13">
      <c r="A2701" s="9"/>
      <c r="B2701" s="9"/>
      <c r="C2701" s="9"/>
      <c r="D2701" s="9"/>
      <c r="E2701" s="9"/>
      <c r="F2701" s="9"/>
      <c r="G2701" s="9"/>
      <c r="H2701" s="9"/>
      <c r="I2701" s="9"/>
      <c r="J2701" s="9"/>
      <c r="K2701" s="9"/>
      <c r="L2701" s="9"/>
      <c r="M2701" s="9"/>
    </row>
    <row r="2702" spans="1:13">
      <c r="A2702" s="9"/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</row>
    <row r="2703" spans="1:13">
      <c r="A2703" s="9"/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</row>
    <row r="2704" spans="1:13">
      <c r="A2704" s="9"/>
      <c r="B2704" s="9"/>
      <c r="C2704" s="9"/>
      <c r="D2704" s="9"/>
      <c r="E2704" s="9"/>
      <c r="F2704" s="9"/>
      <c r="G2704" s="9"/>
      <c r="H2704" s="9"/>
      <c r="I2704" s="9"/>
      <c r="J2704" s="9"/>
      <c r="K2704" s="9"/>
      <c r="L2704" s="9"/>
      <c r="M2704" s="9"/>
    </row>
    <row r="2705" spans="1:13">
      <c r="A2705" s="9"/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</row>
    <row r="2706" spans="1:13">
      <c r="A2706" s="9"/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</row>
    <row r="2707" spans="1:13">
      <c r="A2707" s="9"/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</row>
    <row r="2708" spans="1:13">
      <c r="A2708" s="9"/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</row>
    <row r="2709" spans="1:13">
      <c r="A2709" s="9"/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</row>
    <row r="2710" spans="1:13">
      <c r="A2710" s="9"/>
      <c r="B2710" s="9"/>
      <c r="C2710" s="9"/>
      <c r="D2710" s="9"/>
      <c r="E2710" s="9"/>
      <c r="F2710" s="9"/>
      <c r="G2710" s="9"/>
      <c r="H2710" s="9"/>
      <c r="I2710" s="9"/>
      <c r="J2710" s="9"/>
      <c r="K2710" s="9"/>
      <c r="L2710" s="9"/>
      <c r="M2710" s="9"/>
    </row>
    <row r="2711" spans="1:13">
      <c r="A2711" s="9"/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</row>
    <row r="2712" spans="1:13">
      <c r="A2712" s="9"/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</row>
    <row r="2713" spans="1:13">
      <c r="A2713" s="9"/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</row>
    <row r="2714" spans="1:13">
      <c r="A2714" s="9"/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</row>
    <row r="2715" spans="1:13">
      <c r="A2715" s="9"/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</row>
    <row r="2716" spans="1:13">
      <c r="A2716" s="9"/>
      <c r="B2716" s="9"/>
      <c r="C2716" s="9"/>
      <c r="D2716" s="9"/>
      <c r="E2716" s="9"/>
      <c r="F2716" s="9"/>
      <c r="G2716" s="9"/>
      <c r="H2716" s="9"/>
      <c r="I2716" s="9"/>
      <c r="J2716" s="9"/>
      <c r="K2716" s="9"/>
      <c r="L2716" s="9"/>
      <c r="M2716" s="9"/>
    </row>
    <row r="2717" spans="1:13">
      <c r="A2717" s="9"/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</row>
    <row r="2718" spans="1:13">
      <c r="A2718" s="9"/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</row>
    <row r="2719" spans="1:13">
      <c r="A2719" s="9"/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</row>
    <row r="2720" spans="1:13">
      <c r="A2720" s="9"/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</row>
    <row r="2721" spans="1:13">
      <c r="A2721" s="9"/>
      <c r="B2721" s="9"/>
      <c r="C2721" s="9"/>
      <c r="D2721" s="9"/>
      <c r="E2721" s="9"/>
      <c r="F2721" s="9"/>
      <c r="G2721" s="9"/>
      <c r="H2721" s="9"/>
      <c r="I2721" s="9"/>
      <c r="J2721" s="9"/>
      <c r="K2721" s="9"/>
      <c r="L2721" s="9"/>
      <c r="M2721" s="9"/>
    </row>
    <row r="2722" spans="1:13">
      <c r="A2722" s="9"/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</row>
    <row r="2723" spans="1:13">
      <c r="A2723" s="9"/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</row>
    <row r="2724" spans="1:13">
      <c r="A2724" s="9"/>
      <c r="B2724" s="9"/>
      <c r="C2724" s="9"/>
      <c r="D2724" s="9"/>
      <c r="E2724" s="9"/>
      <c r="F2724" s="9"/>
      <c r="G2724" s="9"/>
      <c r="H2724" s="9"/>
      <c r="I2724" s="9"/>
      <c r="J2724" s="9"/>
      <c r="K2724" s="9"/>
      <c r="L2724" s="9"/>
      <c r="M2724" s="9"/>
    </row>
    <row r="2725" spans="1:13">
      <c r="A2725" s="9"/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</row>
    <row r="2726" spans="1:13">
      <c r="A2726" s="9"/>
      <c r="B2726" s="9"/>
      <c r="C2726" s="9"/>
      <c r="D2726" s="9"/>
      <c r="E2726" s="9"/>
      <c r="F2726" s="9"/>
      <c r="G2726" s="9"/>
      <c r="H2726" s="9"/>
      <c r="I2726" s="9"/>
      <c r="J2726" s="9"/>
      <c r="K2726" s="9"/>
      <c r="L2726" s="9"/>
      <c r="M2726" s="9"/>
    </row>
    <row r="2727" spans="1:13">
      <c r="A2727" s="9"/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</row>
    <row r="2728" spans="1:13">
      <c r="A2728" s="9"/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</row>
    <row r="2729" spans="1:13">
      <c r="A2729" s="9"/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</row>
    <row r="2730" spans="1:13">
      <c r="A2730" s="9"/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</row>
    <row r="2731" spans="1:13">
      <c r="A2731" s="9"/>
      <c r="B2731" s="9"/>
      <c r="C2731" s="9"/>
      <c r="D2731" s="9"/>
      <c r="E2731" s="9"/>
      <c r="F2731" s="9"/>
      <c r="G2731" s="9"/>
      <c r="H2731" s="9"/>
      <c r="I2731" s="9"/>
      <c r="J2731" s="9"/>
      <c r="K2731" s="9"/>
      <c r="L2731" s="9"/>
      <c r="M2731" s="9"/>
    </row>
    <row r="2732" spans="1:13">
      <c r="A2732" s="9"/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</row>
    <row r="2733" spans="1:13">
      <c r="A2733" s="9"/>
      <c r="B2733" s="9"/>
      <c r="C2733" s="9"/>
      <c r="D2733" s="9"/>
      <c r="E2733" s="9"/>
      <c r="F2733" s="9"/>
      <c r="G2733" s="9"/>
      <c r="H2733" s="9"/>
      <c r="I2733" s="9"/>
      <c r="J2733" s="9"/>
      <c r="K2733" s="9"/>
      <c r="L2733" s="9"/>
      <c r="M2733" s="9"/>
    </row>
    <row r="2734" spans="1:13">
      <c r="A2734" s="9"/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</row>
    <row r="2735" spans="1:13">
      <c r="A2735" s="9"/>
      <c r="B2735" s="9"/>
      <c r="C2735" s="9"/>
      <c r="D2735" s="9"/>
      <c r="E2735" s="9"/>
      <c r="F2735" s="9"/>
      <c r="G2735" s="9"/>
      <c r="H2735" s="9"/>
      <c r="I2735" s="9"/>
      <c r="J2735" s="9"/>
      <c r="K2735" s="9"/>
      <c r="L2735" s="9"/>
      <c r="M2735" s="9"/>
    </row>
    <row r="2736" spans="1:13">
      <c r="A2736" s="9"/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</row>
    <row r="2737" spans="1:13">
      <c r="A2737" s="9"/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</row>
    <row r="2738" spans="1:13">
      <c r="A2738" s="9"/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</row>
    <row r="2739" spans="1:13">
      <c r="A2739" s="9"/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</row>
    <row r="2740" spans="1:13">
      <c r="A2740" s="9"/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</row>
    <row r="2741" spans="1:13">
      <c r="A2741" s="9"/>
      <c r="B2741" s="9"/>
      <c r="C2741" s="9"/>
      <c r="D2741" s="9"/>
      <c r="E2741" s="9"/>
      <c r="F2741" s="9"/>
      <c r="G2741" s="9"/>
      <c r="H2741" s="9"/>
      <c r="I2741" s="9"/>
      <c r="J2741" s="9"/>
      <c r="K2741" s="9"/>
      <c r="L2741" s="9"/>
      <c r="M2741" s="9"/>
    </row>
    <row r="2742" spans="1:13">
      <c r="A2742" s="9"/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</row>
    <row r="2743" spans="1:13">
      <c r="A2743" s="9"/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</row>
    <row r="2744" spans="1:13">
      <c r="A2744" s="9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</row>
    <row r="2745" spans="1:13">
      <c r="A2745" s="9"/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</row>
    <row r="2746" spans="1:13">
      <c r="A2746" s="9"/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</row>
    <row r="2747" spans="1:13">
      <c r="A2747" s="9"/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</row>
    <row r="2748" spans="1:13">
      <c r="A2748" s="9"/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</row>
    <row r="2749" spans="1:13">
      <c r="A2749" s="9"/>
      <c r="B2749" s="9"/>
      <c r="C2749" s="9"/>
      <c r="D2749" s="9"/>
      <c r="E2749" s="9"/>
      <c r="F2749" s="9"/>
      <c r="G2749" s="9"/>
      <c r="H2749" s="9"/>
      <c r="I2749" s="9"/>
      <c r="J2749" s="9"/>
      <c r="K2749" s="9"/>
      <c r="L2749" s="9"/>
      <c r="M2749" s="9"/>
    </row>
    <row r="2750" spans="1:13">
      <c r="A2750" s="9"/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</row>
    <row r="2751" spans="1:13">
      <c r="A2751" s="9"/>
      <c r="B2751" s="9"/>
      <c r="C2751" s="9"/>
      <c r="D2751" s="9"/>
      <c r="E2751" s="9"/>
      <c r="F2751" s="9"/>
      <c r="G2751" s="9"/>
      <c r="H2751" s="9"/>
      <c r="I2751" s="9"/>
      <c r="J2751" s="9"/>
      <c r="K2751" s="9"/>
      <c r="L2751" s="9"/>
      <c r="M2751" s="9"/>
    </row>
    <row r="2752" spans="1:13">
      <c r="A2752" s="9"/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</row>
    <row r="2753" spans="1:13">
      <c r="A2753" s="9"/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</row>
    <row r="2754" spans="1:13">
      <c r="A2754" s="9"/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</row>
    <row r="2755" spans="1:13">
      <c r="A2755" s="9"/>
      <c r="B2755" s="9"/>
      <c r="C2755" s="9"/>
      <c r="D2755" s="9"/>
      <c r="E2755" s="9"/>
      <c r="F2755" s="9"/>
      <c r="G2755" s="9"/>
      <c r="H2755" s="9"/>
      <c r="I2755" s="9"/>
      <c r="J2755" s="9"/>
      <c r="K2755" s="9"/>
      <c r="L2755" s="9"/>
      <c r="M2755" s="9"/>
    </row>
    <row r="2756" spans="1:13">
      <c r="A2756" s="9"/>
      <c r="B2756" s="9"/>
      <c r="C2756" s="9"/>
      <c r="D2756" s="9"/>
      <c r="E2756" s="9"/>
      <c r="F2756" s="9"/>
      <c r="G2756" s="9"/>
      <c r="H2756" s="9"/>
      <c r="I2756" s="9"/>
      <c r="J2756" s="9"/>
      <c r="K2756" s="9"/>
      <c r="L2756" s="9"/>
      <c r="M2756" s="9"/>
    </row>
    <row r="2757" spans="1:13">
      <c r="A2757" s="9"/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</row>
    <row r="2758" spans="1:13">
      <c r="A2758" s="9"/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</row>
    <row r="2759" spans="1:13">
      <c r="A2759" s="9"/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</row>
    <row r="2760" spans="1:13">
      <c r="A2760" s="9"/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</row>
    <row r="2761" spans="1:13">
      <c r="A2761" s="9"/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</row>
    <row r="2762" spans="1:13">
      <c r="A2762" s="9"/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</row>
    <row r="2763" spans="1:13">
      <c r="A2763" s="9"/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</row>
    <row r="2764" spans="1:13">
      <c r="A2764" s="9"/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</row>
    <row r="2765" spans="1:13">
      <c r="A2765" s="9"/>
      <c r="B2765" s="9"/>
      <c r="C2765" s="9"/>
      <c r="D2765" s="9"/>
      <c r="E2765" s="9"/>
      <c r="F2765" s="9"/>
      <c r="G2765" s="9"/>
      <c r="H2765" s="9"/>
      <c r="I2765" s="9"/>
      <c r="J2765" s="9"/>
      <c r="K2765" s="9"/>
      <c r="L2765" s="9"/>
      <c r="M2765" s="9"/>
    </row>
    <row r="2766" spans="1:13">
      <c r="A2766" s="9"/>
      <c r="B2766" s="9"/>
      <c r="C2766" s="9"/>
      <c r="D2766" s="9"/>
      <c r="E2766" s="9"/>
      <c r="F2766" s="9"/>
      <c r="G2766" s="9"/>
      <c r="H2766" s="9"/>
      <c r="I2766" s="9"/>
      <c r="J2766" s="9"/>
      <c r="K2766" s="9"/>
      <c r="L2766" s="9"/>
      <c r="M2766" s="9"/>
    </row>
    <row r="2767" spans="1:13">
      <c r="A2767" s="9"/>
      <c r="B2767" s="9"/>
      <c r="C2767" s="9"/>
      <c r="D2767" s="9"/>
      <c r="E2767" s="9"/>
      <c r="F2767" s="9"/>
      <c r="G2767" s="9"/>
      <c r="H2767" s="9"/>
      <c r="I2767" s="9"/>
      <c r="J2767" s="9"/>
      <c r="K2767" s="9"/>
      <c r="L2767" s="9"/>
      <c r="M2767" s="9"/>
    </row>
    <row r="2768" spans="1:13">
      <c r="A2768" s="9"/>
      <c r="B2768" s="9"/>
      <c r="C2768" s="9"/>
      <c r="D2768" s="9"/>
      <c r="E2768" s="9"/>
      <c r="F2768" s="9"/>
      <c r="G2768" s="9"/>
      <c r="H2768" s="9"/>
      <c r="I2768" s="9"/>
      <c r="J2768" s="9"/>
      <c r="K2768" s="9"/>
      <c r="L2768" s="9"/>
      <c r="M2768" s="9"/>
    </row>
    <row r="2769" spans="1:13">
      <c r="A2769" s="9"/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</row>
    <row r="2770" spans="1:13">
      <c r="A2770" s="9"/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</row>
    <row r="2771" spans="1:13">
      <c r="A2771" s="9"/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</row>
    <row r="2772" spans="1:13">
      <c r="A2772" s="9"/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</row>
    <row r="2773" spans="1:13">
      <c r="A2773" s="9"/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</row>
    <row r="2774" spans="1:13">
      <c r="A2774" s="9"/>
      <c r="B2774" s="9"/>
      <c r="C2774" s="9"/>
      <c r="D2774" s="9"/>
      <c r="E2774" s="9"/>
      <c r="F2774" s="9"/>
      <c r="G2774" s="9"/>
      <c r="H2774" s="9"/>
      <c r="I2774" s="9"/>
      <c r="J2774" s="9"/>
      <c r="K2774" s="9"/>
      <c r="L2774" s="9"/>
      <c r="M2774" s="9"/>
    </row>
    <row r="2775" spans="1:13">
      <c r="A2775" s="9"/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</row>
    <row r="2776" spans="1:13">
      <c r="A2776" s="9"/>
      <c r="B2776" s="9"/>
      <c r="C2776" s="9"/>
      <c r="D2776" s="9"/>
      <c r="E2776" s="9"/>
      <c r="F2776" s="9"/>
      <c r="G2776" s="9"/>
      <c r="H2776" s="9"/>
      <c r="I2776" s="9"/>
      <c r="J2776" s="9"/>
      <c r="K2776" s="9"/>
      <c r="L2776" s="9"/>
      <c r="M2776" s="9"/>
    </row>
    <row r="2777" spans="1:13">
      <c r="A2777" s="9"/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</row>
    <row r="2778" spans="1:13">
      <c r="A2778" s="9"/>
      <c r="B2778" s="9"/>
      <c r="C2778" s="9"/>
      <c r="D2778" s="9"/>
      <c r="E2778" s="9"/>
      <c r="F2778" s="9"/>
      <c r="G2778" s="9"/>
      <c r="H2778" s="9"/>
      <c r="I2778" s="9"/>
      <c r="J2778" s="9"/>
      <c r="K2778" s="9"/>
      <c r="L2778" s="9"/>
      <c r="M2778" s="9"/>
    </row>
    <row r="2779" spans="1:13">
      <c r="A2779" s="9"/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</row>
    <row r="2780" spans="1:13">
      <c r="A2780" s="9"/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</row>
    <row r="2781" spans="1:13">
      <c r="A2781" s="9"/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</row>
    <row r="2782" spans="1:13">
      <c r="A2782" s="9"/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</row>
    <row r="2783" spans="1:13">
      <c r="A2783" s="9"/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</row>
    <row r="2784" spans="1:13">
      <c r="A2784" s="9"/>
      <c r="B2784" s="9"/>
      <c r="C2784" s="9"/>
      <c r="D2784" s="9"/>
      <c r="E2784" s="9"/>
      <c r="F2784" s="9"/>
      <c r="G2784" s="9"/>
      <c r="H2784" s="9"/>
      <c r="I2784" s="9"/>
      <c r="J2784" s="9"/>
      <c r="K2784" s="9"/>
      <c r="L2784" s="9"/>
      <c r="M2784" s="9"/>
    </row>
    <row r="2785" spans="1:13">
      <c r="A2785" s="9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</row>
    <row r="2786" spans="1:13">
      <c r="A2786" s="9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</row>
    <row r="2787" spans="1:13">
      <c r="A2787" s="9"/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</row>
    <row r="2788" spans="1:13">
      <c r="A2788" s="9"/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</row>
    <row r="2789" spans="1:13">
      <c r="A2789" s="9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</row>
    <row r="2790" spans="1:13">
      <c r="A2790" s="9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</row>
    <row r="2791" spans="1:13">
      <c r="A2791" s="9"/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</row>
    <row r="2792" spans="1:13">
      <c r="A2792" s="9"/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</row>
    <row r="2793" spans="1:13">
      <c r="A2793" s="9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</row>
    <row r="2794" spans="1:13">
      <c r="A2794" s="9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</row>
    <row r="2795" spans="1:13">
      <c r="A2795" s="9"/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</row>
    <row r="2796" spans="1:13">
      <c r="A2796" s="9"/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</row>
    <row r="2797" spans="1:13">
      <c r="A2797" s="9"/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</row>
    <row r="2798" spans="1:13">
      <c r="A2798" s="9"/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</row>
    <row r="2799" spans="1:13">
      <c r="A2799" s="9"/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</row>
    <row r="2800" spans="1:13">
      <c r="A2800" s="9"/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</row>
    <row r="2801" spans="1:13">
      <c r="A2801" s="9"/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</row>
    <row r="2802" spans="1:13">
      <c r="A2802" s="9"/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</row>
    <row r="2803" spans="1:13">
      <c r="A2803" s="9"/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</row>
    <row r="2804" spans="1:13">
      <c r="A2804" s="9"/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</row>
    <row r="2805" spans="1:13">
      <c r="A2805" s="9"/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</row>
    <row r="2806" spans="1:13">
      <c r="A2806" s="9"/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</row>
    <row r="2807" spans="1:13">
      <c r="A2807" s="9"/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</row>
    <row r="2808" spans="1:13">
      <c r="A2808" s="9"/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</row>
    <row r="2809" spans="1:13">
      <c r="A2809" s="9"/>
      <c r="B2809" s="9"/>
      <c r="C2809" s="9"/>
      <c r="D2809" s="9"/>
      <c r="E2809" s="9"/>
      <c r="F2809" s="9"/>
      <c r="G2809" s="9"/>
      <c r="H2809" s="9"/>
      <c r="I2809" s="9"/>
      <c r="J2809" s="9"/>
      <c r="K2809" s="9"/>
      <c r="L2809" s="9"/>
      <c r="M2809" s="9"/>
    </row>
    <row r="2810" spans="1:13">
      <c r="A2810" s="9"/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</row>
    <row r="2811" spans="1:13">
      <c r="A2811" s="9"/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</row>
    <row r="2812" spans="1:13">
      <c r="A2812" s="9"/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</row>
    <row r="2813" spans="1:13">
      <c r="A2813" s="9"/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</row>
    <row r="2814" spans="1:13">
      <c r="A2814" s="9"/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</row>
    <row r="2815" spans="1:13">
      <c r="A2815" s="9"/>
      <c r="B2815" s="9"/>
      <c r="C2815" s="9"/>
      <c r="D2815" s="9"/>
      <c r="E2815" s="9"/>
      <c r="F2815" s="9"/>
      <c r="G2815" s="9"/>
      <c r="H2815" s="9"/>
      <c r="I2815" s="9"/>
      <c r="J2815" s="9"/>
      <c r="K2815" s="9"/>
      <c r="L2815" s="9"/>
      <c r="M2815" s="9"/>
    </row>
    <row r="2816" spans="1:13">
      <c r="A2816" s="9"/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</row>
    <row r="2817" spans="1:13">
      <c r="A2817" s="9"/>
      <c r="B2817" s="9"/>
      <c r="C2817" s="9"/>
      <c r="D2817" s="9"/>
      <c r="E2817" s="9"/>
      <c r="F2817" s="9"/>
      <c r="G2817" s="9"/>
      <c r="H2817" s="9"/>
      <c r="I2817" s="9"/>
      <c r="J2817" s="9"/>
      <c r="K2817" s="9"/>
      <c r="L2817" s="9"/>
      <c r="M2817" s="9"/>
    </row>
    <row r="2818" spans="1:13">
      <c r="A2818" s="9"/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</row>
    <row r="2819" spans="1:13">
      <c r="A2819" s="9"/>
      <c r="B2819" s="9"/>
      <c r="C2819" s="9"/>
      <c r="D2819" s="9"/>
      <c r="E2819" s="9"/>
      <c r="F2819" s="9"/>
      <c r="G2819" s="9"/>
      <c r="H2819" s="9"/>
      <c r="I2819" s="9"/>
      <c r="J2819" s="9"/>
      <c r="K2819" s="9"/>
      <c r="L2819" s="9"/>
      <c r="M2819" s="9"/>
    </row>
    <row r="2820" spans="1:13">
      <c r="A2820" s="9"/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</row>
    <row r="2821" spans="1:13">
      <c r="A2821" s="9"/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</row>
    <row r="2822" spans="1:13">
      <c r="A2822" s="9"/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</row>
    <row r="2823" spans="1:13">
      <c r="A2823" s="9"/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</row>
    <row r="2824" spans="1:13">
      <c r="A2824" s="9"/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</row>
    <row r="2825" spans="1:13">
      <c r="A2825" s="9"/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</row>
    <row r="2826" spans="1:13">
      <c r="A2826" s="9"/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</row>
    <row r="2827" spans="1:13">
      <c r="A2827" s="9"/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</row>
    <row r="2828" spans="1:13">
      <c r="A2828" s="9"/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</row>
    <row r="2829" spans="1:13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</row>
    <row r="2830" spans="1:13">
      <c r="A2830" s="9"/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</row>
    <row r="2831" spans="1:13">
      <c r="A2831" s="9"/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</row>
    <row r="2832" spans="1:13">
      <c r="A2832" s="9"/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</row>
    <row r="2833" spans="1:13">
      <c r="A2833" s="9"/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</row>
    <row r="2834" spans="1:13">
      <c r="A2834" s="9"/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</row>
    <row r="2835" spans="1:13">
      <c r="A2835" s="9"/>
      <c r="B2835" s="9"/>
      <c r="C2835" s="9"/>
      <c r="D2835" s="9"/>
      <c r="E2835" s="9"/>
      <c r="F2835" s="9"/>
      <c r="G2835" s="9"/>
      <c r="H2835" s="9"/>
      <c r="I2835" s="9"/>
      <c r="J2835" s="9"/>
      <c r="K2835" s="9"/>
      <c r="L2835" s="9"/>
      <c r="M2835" s="9"/>
    </row>
    <row r="2836" spans="1:13">
      <c r="A2836" s="9"/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</row>
    <row r="2837" spans="1:13">
      <c r="A2837" s="9"/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</row>
    <row r="2838" spans="1:13">
      <c r="A2838" s="9"/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</row>
    <row r="2839" spans="1:13">
      <c r="A2839" s="9"/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</row>
    <row r="2840" spans="1:13">
      <c r="A2840" s="9"/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</row>
    <row r="2841" spans="1:13">
      <c r="A2841" s="9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</row>
    <row r="2842" spans="1:13">
      <c r="A2842" s="9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</row>
    <row r="2843" spans="1:13">
      <c r="A2843" s="9"/>
      <c r="B2843" s="9"/>
      <c r="C2843" s="9"/>
      <c r="D2843" s="9"/>
      <c r="E2843" s="9"/>
      <c r="F2843" s="9"/>
      <c r="G2843" s="9"/>
      <c r="H2843" s="9"/>
      <c r="I2843" s="9"/>
      <c r="J2843" s="9"/>
      <c r="K2843" s="9"/>
      <c r="L2843" s="9"/>
      <c r="M2843" s="9"/>
    </row>
    <row r="2844" spans="1:13">
      <c r="A2844" s="9"/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</row>
    <row r="2845" spans="1:13">
      <c r="A2845" s="9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</row>
    <row r="2846" spans="1:13">
      <c r="A2846" s="9"/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</row>
    <row r="2847" spans="1:13">
      <c r="A2847" s="9"/>
      <c r="B2847" s="9"/>
      <c r="C2847" s="9"/>
      <c r="D2847" s="9"/>
      <c r="E2847" s="9"/>
      <c r="F2847" s="9"/>
      <c r="G2847" s="9"/>
      <c r="H2847" s="9"/>
      <c r="I2847" s="9"/>
      <c r="J2847" s="9"/>
      <c r="K2847" s="9"/>
      <c r="L2847" s="9"/>
      <c r="M2847" s="9"/>
    </row>
    <row r="2848" spans="1:13">
      <c r="A2848" s="9"/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</row>
    <row r="2849" spans="1:13">
      <c r="A2849" s="9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</row>
    <row r="2850" spans="1:13">
      <c r="A2850" s="9"/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</row>
    <row r="2851" spans="1:13">
      <c r="A2851" s="9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</row>
    <row r="2852" spans="1:13">
      <c r="A2852" s="9"/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</row>
    <row r="2853" spans="1:13">
      <c r="A2853" s="9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</row>
    <row r="2854" spans="1:13">
      <c r="A2854" s="9"/>
      <c r="B2854" s="9"/>
      <c r="C2854" s="9"/>
      <c r="D2854" s="9"/>
      <c r="E2854" s="9"/>
      <c r="F2854" s="9"/>
      <c r="G2854" s="9"/>
      <c r="H2854" s="9"/>
      <c r="I2854" s="9"/>
      <c r="J2854" s="9"/>
      <c r="K2854" s="9"/>
      <c r="L2854" s="9"/>
      <c r="M2854" s="9"/>
    </row>
    <row r="2855" spans="1:13">
      <c r="A2855" s="9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</row>
    <row r="2856" spans="1:13">
      <c r="A2856" s="9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</row>
    <row r="2857" spans="1:13">
      <c r="A2857" s="9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</row>
    <row r="2858" spans="1:13">
      <c r="A2858" s="9"/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</row>
    <row r="2859" spans="1:13">
      <c r="A2859" s="9"/>
      <c r="B2859" s="9"/>
      <c r="C2859" s="9"/>
      <c r="D2859" s="9"/>
      <c r="E2859" s="9"/>
      <c r="F2859" s="9"/>
      <c r="G2859" s="9"/>
      <c r="H2859" s="9"/>
      <c r="I2859" s="9"/>
      <c r="J2859" s="9"/>
      <c r="K2859" s="9"/>
      <c r="L2859" s="9"/>
      <c r="M2859" s="9"/>
    </row>
    <row r="2860" spans="1:13">
      <c r="A2860" s="9"/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</row>
    <row r="2861" spans="1:13">
      <c r="A2861" s="9"/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</row>
    <row r="2862" spans="1:13">
      <c r="A2862" s="9"/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</row>
    <row r="2863" spans="1:13">
      <c r="A2863" s="9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</row>
    <row r="2864" spans="1:13">
      <c r="A2864" s="9"/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</row>
    <row r="2865" spans="1:13">
      <c r="A2865" s="9"/>
      <c r="B2865" s="9"/>
      <c r="C2865" s="9"/>
      <c r="D2865" s="9"/>
      <c r="E2865" s="9"/>
      <c r="F2865" s="9"/>
      <c r="G2865" s="9"/>
      <c r="H2865" s="9"/>
      <c r="I2865" s="9"/>
      <c r="J2865" s="9"/>
      <c r="K2865" s="9"/>
      <c r="L2865" s="9"/>
      <c r="M2865" s="9"/>
    </row>
    <row r="2866" spans="1:13">
      <c r="A2866" s="9"/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</row>
    <row r="2867" spans="1:13">
      <c r="A2867" s="9"/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</row>
    <row r="2868" spans="1:13">
      <c r="A2868" s="9"/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</row>
    <row r="2869" spans="1:13">
      <c r="A2869" s="9"/>
      <c r="B2869" s="9"/>
      <c r="C2869" s="9"/>
      <c r="D2869" s="9"/>
      <c r="E2869" s="9"/>
      <c r="F2869" s="9"/>
      <c r="G2869" s="9"/>
      <c r="H2869" s="9"/>
      <c r="I2869" s="9"/>
      <c r="J2869" s="9"/>
      <c r="K2869" s="9"/>
      <c r="L2869" s="9"/>
      <c r="M2869" s="9"/>
    </row>
    <row r="2870" spans="1:13">
      <c r="A2870" s="9"/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</row>
    <row r="2871" spans="1:13">
      <c r="A2871" s="9"/>
      <c r="B2871" s="9"/>
      <c r="C2871" s="9"/>
      <c r="D2871" s="9"/>
      <c r="E2871" s="9"/>
      <c r="F2871" s="9"/>
      <c r="G2871" s="9"/>
      <c r="H2871" s="9"/>
      <c r="I2871" s="9"/>
      <c r="J2871" s="9"/>
      <c r="K2871" s="9"/>
      <c r="L2871" s="9"/>
      <c r="M2871" s="9"/>
    </row>
    <row r="2872" spans="1:13">
      <c r="A2872" s="9"/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</row>
    <row r="2873" spans="1:13">
      <c r="A2873" s="9"/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</row>
    <row r="2874" spans="1:13">
      <c r="A2874" s="9"/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</row>
    <row r="2875" spans="1:13">
      <c r="A2875" s="9"/>
      <c r="B2875" s="9"/>
      <c r="C2875" s="9"/>
      <c r="D2875" s="9"/>
      <c r="E2875" s="9"/>
      <c r="F2875" s="9"/>
      <c r="G2875" s="9"/>
      <c r="H2875" s="9"/>
      <c r="I2875" s="9"/>
      <c r="J2875" s="9"/>
      <c r="K2875" s="9"/>
      <c r="L2875" s="9"/>
      <c r="M2875" s="9"/>
    </row>
    <row r="2876" spans="1:13">
      <c r="A2876" s="9"/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</row>
    <row r="2877" spans="1:13">
      <c r="A2877" s="9"/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</row>
    <row r="2878" spans="1:13">
      <c r="A2878" s="9"/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</row>
    <row r="2879" spans="1:13">
      <c r="A2879" s="9"/>
      <c r="B2879" s="9"/>
      <c r="C2879" s="9"/>
      <c r="D2879" s="9"/>
      <c r="E2879" s="9"/>
      <c r="F2879" s="9"/>
      <c r="G2879" s="9"/>
      <c r="H2879" s="9"/>
      <c r="I2879" s="9"/>
      <c r="J2879" s="9"/>
      <c r="K2879" s="9"/>
      <c r="L2879" s="9"/>
      <c r="M2879" s="9"/>
    </row>
    <row r="2880" spans="1:13">
      <c r="A2880" s="9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</row>
    <row r="2881" spans="1:13">
      <c r="A2881" s="9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</row>
    <row r="2882" spans="1:13">
      <c r="A2882" s="9"/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</row>
    <row r="2883" spans="1:13">
      <c r="A2883" s="9"/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</row>
    <row r="2884" spans="1:13">
      <c r="A2884" s="9"/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</row>
    <row r="2885" spans="1:13">
      <c r="A2885" s="9"/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</row>
    <row r="2886" spans="1:13">
      <c r="A2886" s="9"/>
      <c r="B2886" s="9"/>
      <c r="C2886" s="9"/>
      <c r="D2886" s="9"/>
      <c r="E2886" s="9"/>
      <c r="F2886" s="9"/>
      <c r="G2886" s="9"/>
      <c r="H2886" s="9"/>
      <c r="I2886" s="9"/>
      <c r="J2886" s="9"/>
      <c r="K2886" s="9"/>
      <c r="L2886" s="9"/>
      <c r="M2886" s="9"/>
    </row>
    <row r="2887" spans="1:13">
      <c r="A2887" s="9"/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</row>
    <row r="2888" spans="1:13">
      <c r="A2888" s="9"/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</row>
    <row r="2889" spans="1:13">
      <c r="A2889" s="9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</row>
    <row r="2890" spans="1:13">
      <c r="A2890" s="9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</row>
    <row r="2891" spans="1:13">
      <c r="A2891" s="9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</row>
    <row r="2892" spans="1:13">
      <c r="A2892" s="9"/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</row>
    <row r="2893" spans="1:13">
      <c r="A2893" s="9"/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</row>
    <row r="2894" spans="1:13">
      <c r="A2894" s="9"/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</row>
    <row r="2895" spans="1:13">
      <c r="A2895" s="9"/>
      <c r="B2895" s="9"/>
      <c r="C2895" s="9"/>
      <c r="D2895" s="9"/>
      <c r="E2895" s="9"/>
      <c r="F2895" s="9"/>
      <c r="G2895" s="9"/>
      <c r="H2895" s="9"/>
      <c r="I2895" s="9"/>
      <c r="J2895" s="9"/>
      <c r="K2895" s="9"/>
      <c r="L2895" s="9"/>
      <c r="M2895" s="9"/>
    </row>
    <row r="2896" spans="1:13">
      <c r="A2896" s="9"/>
      <c r="B2896" s="9"/>
      <c r="C2896" s="9"/>
      <c r="D2896" s="9"/>
      <c r="E2896" s="9"/>
      <c r="F2896" s="9"/>
      <c r="G2896" s="9"/>
      <c r="H2896" s="9"/>
      <c r="I2896" s="9"/>
      <c r="J2896" s="9"/>
      <c r="K2896" s="9"/>
      <c r="L2896" s="9"/>
      <c r="M2896" s="9"/>
    </row>
    <row r="2897" spans="1:13">
      <c r="A2897" s="9"/>
      <c r="B2897" s="9"/>
      <c r="C2897" s="9"/>
      <c r="D2897" s="9"/>
      <c r="E2897" s="9"/>
      <c r="F2897" s="9"/>
      <c r="G2897" s="9"/>
      <c r="H2897" s="9"/>
      <c r="I2897" s="9"/>
      <c r="J2897" s="9"/>
      <c r="K2897" s="9"/>
      <c r="L2897" s="9"/>
      <c r="M2897" s="9"/>
    </row>
    <row r="2898" spans="1:13">
      <c r="A2898" s="9"/>
      <c r="B2898" s="9"/>
      <c r="C2898" s="9"/>
      <c r="D2898" s="9"/>
      <c r="E2898" s="9"/>
      <c r="F2898" s="9"/>
      <c r="G2898" s="9"/>
      <c r="H2898" s="9"/>
      <c r="I2898" s="9"/>
      <c r="J2898" s="9"/>
      <c r="K2898" s="9"/>
      <c r="L2898" s="9"/>
      <c r="M2898" s="9"/>
    </row>
    <row r="2899" spans="1:13">
      <c r="A2899" s="9"/>
      <c r="B2899" s="9"/>
      <c r="C2899" s="9"/>
      <c r="D2899" s="9"/>
      <c r="E2899" s="9"/>
      <c r="F2899" s="9"/>
      <c r="G2899" s="9"/>
      <c r="H2899" s="9"/>
      <c r="I2899" s="9"/>
      <c r="J2899" s="9"/>
      <c r="K2899" s="9"/>
      <c r="L2899" s="9"/>
      <c r="M2899" s="9"/>
    </row>
    <row r="2900" spans="1:13">
      <c r="A2900" s="9"/>
      <c r="B2900" s="9"/>
      <c r="C2900" s="9"/>
      <c r="D2900" s="9"/>
      <c r="E2900" s="9"/>
      <c r="F2900" s="9"/>
      <c r="G2900" s="9"/>
      <c r="H2900" s="9"/>
      <c r="I2900" s="9"/>
      <c r="J2900" s="9"/>
      <c r="K2900" s="9"/>
      <c r="L2900" s="9"/>
      <c r="M2900" s="9"/>
    </row>
    <row r="2901" spans="1:13">
      <c r="A2901" s="9"/>
      <c r="B2901" s="9"/>
      <c r="C2901" s="9"/>
      <c r="D2901" s="9"/>
      <c r="E2901" s="9"/>
      <c r="F2901" s="9"/>
      <c r="G2901" s="9"/>
      <c r="H2901" s="9"/>
      <c r="I2901" s="9"/>
      <c r="J2901" s="9"/>
      <c r="K2901" s="9"/>
      <c r="L2901" s="9"/>
      <c r="M2901" s="9"/>
    </row>
    <row r="2902" spans="1:13">
      <c r="A2902" s="9"/>
      <c r="B2902" s="9"/>
      <c r="C2902" s="9"/>
      <c r="D2902" s="9"/>
      <c r="E2902" s="9"/>
      <c r="F2902" s="9"/>
      <c r="G2902" s="9"/>
      <c r="H2902" s="9"/>
      <c r="I2902" s="9"/>
      <c r="J2902" s="9"/>
      <c r="K2902" s="9"/>
      <c r="L2902" s="9"/>
      <c r="M2902" s="9"/>
    </row>
    <row r="2903" spans="1:13">
      <c r="A2903" s="9"/>
      <c r="B2903" s="9"/>
      <c r="C2903" s="9"/>
      <c r="D2903" s="9"/>
      <c r="E2903" s="9"/>
      <c r="F2903" s="9"/>
      <c r="G2903" s="9"/>
      <c r="H2903" s="9"/>
      <c r="I2903" s="9"/>
      <c r="J2903" s="9"/>
      <c r="K2903" s="9"/>
      <c r="L2903" s="9"/>
      <c r="M2903" s="9"/>
    </row>
    <row r="2904" spans="1:13">
      <c r="A2904" s="9"/>
      <c r="B2904" s="9"/>
      <c r="C2904" s="9"/>
      <c r="D2904" s="9"/>
      <c r="E2904" s="9"/>
      <c r="F2904" s="9"/>
      <c r="G2904" s="9"/>
      <c r="H2904" s="9"/>
      <c r="I2904" s="9"/>
      <c r="J2904" s="9"/>
      <c r="K2904" s="9"/>
      <c r="L2904" s="9"/>
      <c r="M2904" s="9"/>
    </row>
    <row r="2905" spans="1:13">
      <c r="A2905" s="9"/>
      <c r="B2905" s="9"/>
      <c r="C2905" s="9"/>
      <c r="D2905" s="9"/>
      <c r="E2905" s="9"/>
      <c r="F2905" s="9"/>
      <c r="G2905" s="9"/>
      <c r="H2905" s="9"/>
      <c r="I2905" s="9"/>
      <c r="J2905" s="9"/>
      <c r="K2905" s="9"/>
      <c r="L2905" s="9"/>
      <c r="M2905" s="9"/>
    </row>
    <row r="2906" spans="1:13">
      <c r="A2906" s="9"/>
      <c r="B2906" s="9"/>
      <c r="C2906" s="9"/>
      <c r="D2906" s="9"/>
      <c r="E2906" s="9"/>
      <c r="F2906" s="9"/>
      <c r="G2906" s="9"/>
      <c r="H2906" s="9"/>
      <c r="I2906" s="9"/>
      <c r="J2906" s="9"/>
      <c r="K2906" s="9"/>
      <c r="L2906" s="9"/>
      <c r="M2906" s="9"/>
    </row>
    <row r="2907" spans="1:13">
      <c r="A2907" s="9"/>
      <c r="B2907" s="9"/>
      <c r="C2907" s="9"/>
      <c r="D2907" s="9"/>
      <c r="E2907" s="9"/>
      <c r="F2907" s="9"/>
      <c r="G2907" s="9"/>
      <c r="H2907" s="9"/>
      <c r="I2907" s="9"/>
      <c r="J2907" s="9"/>
      <c r="K2907" s="9"/>
      <c r="L2907" s="9"/>
      <c r="M2907" s="9"/>
    </row>
    <row r="2908" spans="1:13">
      <c r="A2908" s="9"/>
      <c r="B2908" s="9"/>
      <c r="C2908" s="9"/>
      <c r="D2908" s="9"/>
      <c r="E2908" s="9"/>
      <c r="F2908" s="9"/>
      <c r="G2908" s="9"/>
      <c r="H2908" s="9"/>
      <c r="I2908" s="9"/>
      <c r="J2908" s="9"/>
      <c r="K2908" s="9"/>
      <c r="L2908" s="9"/>
      <c r="M2908" s="9"/>
    </row>
    <row r="2909" spans="1:13">
      <c r="A2909" s="9"/>
      <c r="B2909" s="9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</row>
    <row r="2910" spans="1:13">
      <c r="A2910" s="9"/>
      <c r="B2910" s="9"/>
      <c r="C2910" s="9"/>
      <c r="D2910" s="9"/>
      <c r="E2910" s="9"/>
      <c r="F2910" s="9"/>
      <c r="G2910" s="9"/>
      <c r="H2910" s="9"/>
      <c r="I2910" s="9"/>
      <c r="J2910" s="9"/>
      <c r="K2910" s="9"/>
      <c r="L2910" s="9"/>
      <c r="M2910" s="9"/>
    </row>
    <row r="2911" spans="1:13">
      <c r="A2911" s="9"/>
      <c r="B2911" s="9"/>
      <c r="C2911" s="9"/>
      <c r="D2911" s="9"/>
      <c r="E2911" s="9"/>
      <c r="F2911" s="9"/>
      <c r="G2911" s="9"/>
      <c r="H2911" s="9"/>
      <c r="I2911" s="9"/>
      <c r="J2911" s="9"/>
      <c r="K2911" s="9"/>
      <c r="L2911" s="9"/>
      <c r="M2911" s="9"/>
    </row>
    <row r="2912" spans="1:13">
      <c r="A2912" s="9"/>
      <c r="B2912" s="9"/>
      <c r="C2912" s="9"/>
      <c r="D2912" s="9"/>
      <c r="E2912" s="9"/>
      <c r="F2912" s="9"/>
      <c r="G2912" s="9"/>
      <c r="H2912" s="9"/>
      <c r="I2912" s="9"/>
      <c r="J2912" s="9"/>
      <c r="K2912" s="9"/>
      <c r="L2912" s="9"/>
      <c r="M2912" s="9"/>
    </row>
    <row r="2913" spans="1:13">
      <c r="A2913" s="9"/>
      <c r="B2913" s="9"/>
      <c r="C2913" s="9"/>
      <c r="D2913" s="9"/>
      <c r="E2913" s="9"/>
      <c r="F2913" s="9"/>
      <c r="G2913" s="9"/>
      <c r="H2913" s="9"/>
      <c r="I2913" s="9"/>
      <c r="J2913" s="9"/>
      <c r="K2913" s="9"/>
      <c r="L2913" s="9"/>
      <c r="M2913" s="9"/>
    </row>
    <row r="2914" spans="1:13">
      <c r="A2914" s="9"/>
      <c r="B2914" s="9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</row>
    <row r="2915" spans="1:13">
      <c r="A2915" s="9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</row>
    <row r="2916" spans="1:13">
      <c r="A2916" s="9"/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</row>
    <row r="2917" spans="1:13">
      <c r="A2917" s="9"/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</row>
    <row r="2918" spans="1:13">
      <c r="A2918" s="9"/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</row>
    <row r="2919" spans="1:13">
      <c r="A2919" s="9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</row>
    <row r="2920" spans="1:13">
      <c r="A2920" s="9"/>
      <c r="B2920" s="9"/>
      <c r="C2920" s="9"/>
      <c r="D2920" s="9"/>
      <c r="E2920" s="9"/>
      <c r="F2920" s="9"/>
      <c r="G2920" s="9"/>
      <c r="H2920" s="9"/>
      <c r="I2920" s="9"/>
      <c r="J2920" s="9"/>
      <c r="K2920" s="9"/>
      <c r="L2920" s="9"/>
      <c r="M2920" s="9"/>
    </row>
    <row r="2921" spans="1:13">
      <c r="A2921" s="9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</row>
    <row r="2922" spans="1:13">
      <c r="A2922" s="9"/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</row>
    <row r="2923" spans="1:13">
      <c r="A2923" s="9"/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</row>
    <row r="2924" spans="1:13">
      <c r="A2924" s="9"/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s="9"/>
    </row>
    <row r="2925" spans="1:13">
      <c r="A2925" s="9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</row>
    <row r="2926" spans="1:13">
      <c r="A2926" s="9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</row>
    <row r="2927" spans="1:13">
      <c r="A2927" s="9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</row>
    <row r="2928" spans="1:13">
      <c r="A2928" s="9"/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</row>
    <row r="2929" spans="1:13">
      <c r="A2929" s="9"/>
      <c r="B2929" s="9"/>
      <c r="C2929" s="9"/>
      <c r="D2929" s="9"/>
      <c r="E2929" s="9"/>
      <c r="F2929" s="9"/>
      <c r="G2929" s="9"/>
      <c r="H2929" s="9"/>
      <c r="I2929" s="9"/>
      <c r="J2929" s="9"/>
      <c r="K2929" s="9"/>
      <c r="L2929" s="9"/>
      <c r="M2929" s="9"/>
    </row>
    <row r="2930" spans="1:13">
      <c r="A2930" s="9"/>
      <c r="B2930" s="9"/>
      <c r="C2930" s="9"/>
      <c r="D2930" s="9"/>
      <c r="E2930" s="9"/>
      <c r="F2930" s="9"/>
      <c r="G2930" s="9"/>
      <c r="H2930" s="9"/>
      <c r="I2930" s="9"/>
      <c r="J2930" s="9"/>
      <c r="K2930" s="9"/>
      <c r="L2930" s="9"/>
      <c r="M2930" s="9"/>
    </row>
    <row r="2931" spans="1:13">
      <c r="A2931" s="9"/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</row>
    <row r="2932" spans="1:13">
      <c r="A2932" s="9"/>
      <c r="B2932" s="9"/>
      <c r="C2932" s="9"/>
      <c r="D2932" s="9"/>
      <c r="E2932" s="9"/>
      <c r="F2932" s="9"/>
      <c r="G2932" s="9"/>
      <c r="H2932" s="9"/>
      <c r="I2932" s="9"/>
      <c r="J2932" s="9"/>
      <c r="K2932" s="9"/>
      <c r="L2932" s="9"/>
      <c r="M2932" s="9"/>
    </row>
    <row r="2933" spans="1:13">
      <c r="A2933" s="9"/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</row>
    <row r="2934" spans="1:13">
      <c r="A2934" s="9"/>
      <c r="B2934" s="9"/>
      <c r="C2934" s="9"/>
      <c r="D2934" s="9"/>
      <c r="E2934" s="9"/>
      <c r="F2934" s="9"/>
      <c r="G2934" s="9"/>
      <c r="H2934" s="9"/>
      <c r="I2934" s="9"/>
      <c r="J2934" s="9"/>
      <c r="K2934" s="9"/>
      <c r="L2934" s="9"/>
      <c r="M2934" s="9"/>
    </row>
    <row r="2935" spans="1:13">
      <c r="A2935" s="9"/>
      <c r="B2935" s="9"/>
      <c r="C2935" s="9"/>
      <c r="D2935" s="9"/>
      <c r="E2935" s="9"/>
      <c r="F2935" s="9"/>
      <c r="G2935" s="9"/>
      <c r="H2935" s="9"/>
      <c r="I2935" s="9"/>
      <c r="J2935" s="9"/>
      <c r="K2935" s="9"/>
      <c r="L2935" s="9"/>
      <c r="M2935" s="9"/>
    </row>
    <row r="2936" spans="1:13">
      <c r="A2936" s="9"/>
      <c r="B2936" s="9"/>
      <c r="C2936" s="9"/>
      <c r="D2936" s="9"/>
      <c r="E2936" s="9"/>
      <c r="F2936" s="9"/>
      <c r="G2936" s="9"/>
      <c r="H2936" s="9"/>
      <c r="I2936" s="9"/>
      <c r="J2936" s="9"/>
      <c r="K2936" s="9"/>
      <c r="L2936" s="9"/>
      <c r="M2936" s="9"/>
    </row>
    <row r="2937" spans="1:13">
      <c r="A2937" s="9"/>
      <c r="B2937" s="9"/>
      <c r="C2937" s="9"/>
      <c r="D2937" s="9"/>
      <c r="E2937" s="9"/>
      <c r="F2937" s="9"/>
      <c r="G2937" s="9"/>
      <c r="H2937" s="9"/>
      <c r="I2937" s="9"/>
      <c r="J2937" s="9"/>
      <c r="K2937" s="9"/>
      <c r="L2937" s="9"/>
      <c r="M2937" s="9"/>
    </row>
    <row r="2938" spans="1:13">
      <c r="A2938" s="9"/>
      <c r="B2938" s="9"/>
      <c r="C2938" s="9"/>
      <c r="D2938" s="9"/>
      <c r="E2938" s="9"/>
      <c r="F2938" s="9"/>
      <c r="G2938" s="9"/>
      <c r="H2938" s="9"/>
      <c r="I2938" s="9"/>
      <c r="J2938" s="9"/>
      <c r="K2938" s="9"/>
      <c r="L2938" s="9"/>
      <c r="M2938" s="9"/>
    </row>
    <row r="2939" spans="1:13">
      <c r="A2939" s="9"/>
      <c r="B2939" s="9"/>
      <c r="C2939" s="9"/>
      <c r="D2939" s="9"/>
      <c r="E2939" s="9"/>
      <c r="F2939" s="9"/>
      <c r="G2939" s="9"/>
      <c r="H2939" s="9"/>
      <c r="I2939" s="9"/>
      <c r="J2939" s="9"/>
      <c r="K2939" s="9"/>
      <c r="L2939" s="9"/>
      <c r="M2939" s="9"/>
    </row>
    <row r="2940" spans="1:13">
      <c r="A2940" s="9"/>
      <c r="B2940" s="9"/>
      <c r="C2940" s="9"/>
      <c r="D2940" s="9"/>
      <c r="E2940" s="9"/>
      <c r="F2940" s="9"/>
      <c r="G2940" s="9"/>
      <c r="H2940" s="9"/>
      <c r="I2940" s="9"/>
      <c r="J2940" s="9"/>
      <c r="K2940" s="9"/>
      <c r="L2940" s="9"/>
      <c r="M2940" s="9"/>
    </row>
    <row r="2941" spans="1:13">
      <c r="A2941" s="9"/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</row>
    <row r="2942" spans="1:13">
      <c r="A2942" s="9"/>
      <c r="B2942" s="9"/>
      <c r="C2942" s="9"/>
      <c r="D2942" s="9"/>
      <c r="E2942" s="9"/>
      <c r="F2942" s="9"/>
      <c r="G2942" s="9"/>
      <c r="H2942" s="9"/>
      <c r="I2942" s="9"/>
      <c r="J2942" s="9"/>
      <c r="K2942" s="9"/>
      <c r="L2942" s="9"/>
      <c r="M2942" s="9"/>
    </row>
    <row r="2943" spans="1:13">
      <c r="A2943" s="9"/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</row>
    <row r="2944" spans="1:13">
      <c r="A2944" s="9"/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</row>
    <row r="2945" spans="1:13">
      <c r="A2945" s="9"/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</row>
    <row r="2946" spans="1:13">
      <c r="A2946" s="9"/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</row>
  </sheetData>
  <autoFilter ref="A1:N1947"/>
  <conditionalFormatting sqref="A1:M1">
    <cfRule type="cellIs" dxfId="7" priority="14" operator="notEqual">
      <formula>-13.345</formula>
    </cfRule>
  </conditionalFormatting>
  <conditionalFormatting sqref="A2:A1947">
    <cfRule type="cellIs" dxfId="0" priority="1" operator="notEqual">
      <formula>"None"</formula>
    </cfRule>
  </conditionalFormatting>
  <conditionalFormatting sqref="B2:B1947">
    <cfRule type="cellIs" dxfId="1" priority="2" operator="notEqual">
      <formula>"None"</formula>
    </cfRule>
  </conditionalFormatting>
  <conditionalFormatting sqref="C2:C1947">
    <cfRule type="cellIs" dxfId="0" priority="3" operator="notEqual">
      <formula>"None"</formula>
    </cfRule>
  </conditionalFormatting>
  <conditionalFormatting sqref="D2:D1947">
    <cfRule type="cellIs" dxfId="2" priority="4" operator="notEqual">
      <formula>"None"</formula>
    </cfRule>
  </conditionalFormatting>
  <conditionalFormatting sqref="E2:E1947">
    <cfRule type="cellIs" dxfId="3" priority="5" operator="notEqual">
      <formula>"None"</formula>
    </cfRule>
  </conditionalFormatting>
  <conditionalFormatting sqref="F2:F1947">
    <cfRule type="cellIs" dxfId="3" priority="6" operator="notEqual">
      <formula>"None"</formula>
    </cfRule>
  </conditionalFormatting>
  <conditionalFormatting sqref="G2:G1947">
    <cfRule type="cellIs" dxfId="2" priority="7" operator="notEqual">
      <formula>"None"</formula>
    </cfRule>
  </conditionalFormatting>
  <conditionalFormatting sqref="H2:H1947">
    <cfRule type="cellIs" dxfId="4" priority="8" operator="notEqual">
      <formula>"None"</formula>
    </cfRule>
  </conditionalFormatting>
  <conditionalFormatting sqref="I2:I1947">
    <cfRule type="cellIs" dxfId="5" priority="9" operator="notEqual">
      <formula>"None"</formula>
    </cfRule>
  </conditionalFormatting>
  <conditionalFormatting sqref="J2:J1947">
    <cfRule type="cellIs" dxfId="3" priority="10" operator="notEqual">
      <formula>"None"</formula>
    </cfRule>
  </conditionalFormatting>
  <conditionalFormatting sqref="K2:K1947">
    <cfRule type="cellIs" dxfId="6" priority="11" operator="notEqual">
      <formula>"None"</formula>
    </cfRule>
  </conditionalFormatting>
  <conditionalFormatting sqref="L2:L1947">
    <cfRule type="cellIs" dxfId="2" priority="12" operator="notEqual">
      <formula>"None"</formula>
    </cfRule>
  </conditionalFormatting>
  <conditionalFormatting sqref="M2:M1947">
    <cfRule type="cellIs" dxfId="2" priority="13" operator="notEqual">
      <formula>"None"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25.7109375" customWidth="1"/>
    <col min="2" max="2" width="0" customWidth="1"/>
  </cols>
  <sheetData>
    <row r="1" spans="1:2">
      <c r="A1" s="8" t="s">
        <v>1971</v>
      </c>
      <c r="B1" s="8"/>
    </row>
    <row r="2" spans="1:2">
      <c r="A2" s="8" t="s">
        <v>1972</v>
      </c>
    </row>
    <row r="3" spans="1:2">
      <c r="A3" s="8" t="s">
        <v>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Characteristics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2026-01-22T13:59:39Z</dcterms:created>
  <dcterms:modified xsi:type="dcterms:W3CDTF">2026-01-22T13:59:39Z</dcterms:modified>
</cp:coreProperties>
</file>